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cityinc123-my.sharepoint.com/personal/kevin_maykel_cityinc_com_br/Documents/Documentos/Projetos/projeto-cpa/"/>
    </mc:Choice>
  </mc:AlternateContent>
  <xr:revisionPtr revIDLastSave="39" documentId="13_ncr:1_{161A37C9-E960-4C9D-B8EA-92523C252899}" xr6:coauthVersionLast="47" xr6:coauthVersionMax="47" xr10:uidLastSave="{46B920FB-01DD-4DC6-9246-FDF92F912243}"/>
  <bookViews>
    <workbookView xWindow="-28920" yWindow="-4290" windowWidth="29040" windowHeight="1572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4" i="1" l="1"/>
  <c r="A163" i="1"/>
  <c r="A162" i="1"/>
  <c r="D162" i="1"/>
  <c r="D163" i="1"/>
  <c r="D164" i="1"/>
  <c r="A161" i="1"/>
  <c r="A160" i="1"/>
  <c r="D160" i="1"/>
  <c r="D161" i="1"/>
  <c r="A159" i="1"/>
  <c r="A158" i="1"/>
  <c r="A157" i="1"/>
  <c r="A156" i="1"/>
  <c r="D156" i="1"/>
  <c r="D157" i="1"/>
  <c r="D158" i="1"/>
  <c r="D159" i="1"/>
  <c r="A155" i="1"/>
  <c r="A154" i="1"/>
  <c r="A153" i="1"/>
  <c r="A152" i="1"/>
  <c r="A151" i="1"/>
  <c r="A150" i="1"/>
  <c r="A149" i="1"/>
  <c r="A148" i="1"/>
  <c r="A147" i="1"/>
  <c r="A146" i="1"/>
  <c r="A145" i="1"/>
  <c r="D145" i="1"/>
  <c r="D146" i="1"/>
  <c r="D147" i="1"/>
  <c r="D148" i="1"/>
  <c r="D149" i="1"/>
  <c r="D150" i="1"/>
  <c r="D151" i="1"/>
  <c r="D152" i="1"/>
  <c r="D153" i="1"/>
  <c r="D154" i="1"/>
  <c r="D155" i="1"/>
  <c r="A144" i="1"/>
  <c r="A143" i="1"/>
  <c r="A142" i="1"/>
  <c r="A141" i="1"/>
  <c r="A140" i="1"/>
  <c r="D140" i="1"/>
  <c r="D141" i="1"/>
  <c r="D142" i="1"/>
  <c r="D143" i="1"/>
  <c r="D144" i="1"/>
  <c r="A139" i="1"/>
  <c r="A138" i="1"/>
  <c r="A137" i="1"/>
  <c r="A136" i="1"/>
  <c r="A135" i="1"/>
  <c r="A134" i="1"/>
  <c r="A133" i="1"/>
  <c r="D133" i="1"/>
  <c r="D134" i="1"/>
  <c r="D135" i="1"/>
  <c r="D136" i="1"/>
  <c r="D137" i="1"/>
  <c r="D138" i="1"/>
  <c r="D139" i="1"/>
  <c r="A132" i="1"/>
  <c r="A131" i="1"/>
  <c r="A130" i="1"/>
  <c r="D130" i="1"/>
  <c r="D131" i="1"/>
  <c r="D132" i="1"/>
  <c r="A129" i="1"/>
  <c r="A128" i="1"/>
  <c r="A127" i="1"/>
  <c r="A126" i="1"/>
  <c r="A125" i="1"/>
  <c r="A124" i="1"/>
  <c r="D124" i="1"/>
  <c r="D125" i="1"/>
  <c r="D126" i="1"/>
  <c r="D127" i="1"/>
  <c r="D128" i="1"/>
  <c r="D129" i="1"/>
  <c r="A123" i="1"/>
  <c r="A122" i="1"/>
  <c r="A121" i="1"/>
  <c r="A120" i="1"/>
  <c r="D120" i="1"/>
  <c r="D121" i="1"/>
  <c r="D122" i="1"/>
  <c r="D123" i="1"/>
  <c r="A119" i="1"/>
  <c r="A118" i="1"/>
  <c r="D118" i="1"/>
  <c r="D119" i="1"/>
  <c r="A117" i="1"/>
  <c r="A116" i="1"/>
  <c r="A115" i="1"/>
  <c r="A114" i="1"/>
  <c r="D114" i="1"/>
  <c r="D115" i="1"/>
  <c r="D116" i="1"/>
  <c r="D117" i="1"/>
  <c r="A113" i="1"/>
  <c r="A112" i="1"/>
  <c r="A111" i="1"/>
  <c r="A110" i="1"/>
  <c r="A109" i="1"/>
  <c r="A108" i="1"/>
  <c r="A107" i="1"/>
  <c r="A106" i="1"/>
  <c r="A105" i="1"/>
  <c r="A104" i="1"/>
  <c r="A103" i="1"/>
  <c r="D103" i="1"/>
  <c r="D104" i="1"/>
  <c r="D105" i="1"/>
  <c r="D106" i="1"/>
  <c r="D107" i="1"/>
  <c r="D108" i="1"/>
  <c r="D109" i="1"/>
  <c r="D110" i="1"/>
  <c r="D111" i="1"/>
  <c r="D112" i="1"/>
  <c r="D113" i="1"/>
  <c r="A102" i="1"/>
  <c r="A101" i="1"/>
  <c r="A100" i="1"/>
  <c r="A99" i="1"/>
  <c r="A98" i="1"/>
  <c r="D98" i="1"/>
  <c r="D99" i="1"/>
  <c r="D100" i="1"/>
  <c r="D101" i="1"/>
  <c r="D102" i="1"/>
  <c r="A97" i="1"/>
  <c r="A96" i="1"/>
  <c r="A95" i="1"/>
  <c r="A94" i="1"/>
  <c r="A93" i="1"/>
  <c r="A92" i="1"/>
  <c r="A91" i="1"/>
  <c r="D91" i="1"/>
  <c r="D92" i="1"/>
  <c r="D93" i="1"/>
  <c r="D94" i="1"/>
  <c r="D95" i="1"/>
  <c r="D96" i="1"/>
  <c r="D97" i="1"/>
  <c r="A84" i="1"/>
  <c r="A85" i="1"/>
  <c r="A86" i="1"/>
  <c r="A87" i="1"/>
  <c r="A88" i="1"/>
  <c r="A89" i="1"/>
  <c r="A90" i="1"/>
  <c r="D88" i="1"/>
  <c r="D89" i="1"/>
  <c r="D90" i="1"/>
  <c r="A82" i="1"/>
  <c r="A83" i="1"/>
  <c r="D82" i="1"/>
  <c r="D83" i="1"/>
  <c r="D84" i="1"/>
  <c r="D85" i="1"/>
  <c r="D86" i="1"/>
  <c r="D87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A63" i="1"/>
  <c r="A62" i="1"/>
  <c r="A61" i="1"/>
  <c r="A60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2" i="1"/>
  <c r="D60" i="1"/>
  <c r="D61" i="1"/>
  <c r="D62" i="1"/>
  <c r="D63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</calcChain>
</file>

<file path=xl/sharedStrings.xml><?xml version="1.0" encoding="utf-8"?>
<sst xmlns="http://schemas.openxmlformats.org/spreadsheetml/2006/main" count="331" uniqueCount="77">
  <si>
    <t>N_da_questao</t>
  </si>
  <si>
    <t>questao</t>
  </si>
  <si>
    <t>dimensao</t>
  </si>
  <si>
    <t>Você conhece o Plano de Desenvolvimento Institucional (PDI) da FPM</t>
  </si>
  <si>
    <t>Existe uma formulação clara dos objetivos, missão e valores da FPM?</t>
  </si>
  <si>
    <t>Existe coerência entre as ações praticadas pela FPM e o proposto em sua missão?</t>
  </si>
  <si>
    <t>As ações praticadas pela FPM favorecem a indissociabilidade entre Ensino, Pesquisa e Extensão?</t>
  </si>
  <si>
    <t>O coordenador está empenhado no desenvolvimento, na busca de soluções para os problemas e na qualidade do curso?</t>
  </si>
  <si>
    <t>O coordenador do curso relaciona-se bem com os discentes ou docentes?</t>
  </si>
  <si>
    <t>O Projeto Pedagógico do Curso está sendo devidamente desenvolvido?</t>
  </si>
  <si>
    <t>O curso oferece atividades de prática profissional ou acadêmica compatíveis com o proposto no Projeto Pedagógico do Curso?</t>
  </si>
  <si>
    <t>Os membros do NDE do curso são atuantes?</t>
  </si>
  <si>
    <t xml:space="preserve">O docente apresenta o plano de ensino da disciplina de forma sistematizada no início do semestre? </t>
  </si>
  <si>
    <t>O docente domina o conteúdo e está atualizado?</t>
  </si>
  <si>
    <t>O docente tem bom relacionamento com os discentes e é disponível para o esclarecimento de dúvidas?</t>
  </si>
  <si>
    <t>O docente é pontual e assíduo em suas funções?</t>
  </si>
  <si>
    <t>A didática do docente contribui para a aprendizagem?</t>
  </si>
  <si>
    <t>A carga horária e organização dos conteúdos da disciplina são adequadas?</t>
  </si>
  <si>
    <t>Há diversidade e compatibilidade dos instrumentos de avaliação (avaliações bimestrais, trabalhos, atividades onlines, atividades interdisciplinares semanais/quinzenais etc)?</t>
  </si>
  <si>
    <t>O docente proporciona os resultados de avaliações como um momento formativo para os discentes?</t>
  </si>
  <si>
    <t>Como você se avalia com a aprendizagem decorrente da disciplina?</t>
  </si>
  <si>
    <t xml:space="preserve">Se você tiver que fazer outra disciplina com esse professor, qual seria seu grau de satisfação? </t>
  </si>
  <si>
    <t>Você já envolveu com alguma atividade de pesquisa ou extensão?</t>
  </si>
  <si>
    <t>As atividades de pesquisa são integradas ao ensino e à extensão?</t>
  </si>
  <si>
    <t>A relação entre orientadores e discentes interessados em desenvolver projetos de pesquisa é adequada?</t>
  </si>
  <si>
    <t>O programa de bolsas de iniciação científica é adequado?</t>
  </si>
  <si>
    <t>As atividades de extensão atendem às necessidades da comunidade local?</t>
  </si>
  <si>
    <t>A política institucional favorece a inclusão de pessoas com deficiências (PCDs)?</t>
  </si>
  <si>
    <t>Você participa de algum projeto de extensão da FPM?</t>
  </si>
  <si>
    <t>Existem ações que favoreçam a inclusão e permanência de discentes em situação econômica desfavorecida na FPM?</t>
  </si>
  <si>
    <t>As atividades institucionais em interação com o meio social (Educação, Saúde, Lazer, Cultura, Esporte, Meio Ambiente, Cidadania, dentre outros) são efetivas?</t>
  </si>
  <si>
    <t>A comunidade externa tem conhecimento das atividades desenvolvidas pela FPM através das mídias?</t>
  </si>
  <si>
    <t>A ouvidoria funciona segundo os padrões de qualidade claramente estabelecidos?</t>
  </si>
  <si>
    <t>Os registros e os resultados são efetivamente levados em consideração pelas instâncias acadêmicas e administrativas da FPM?</t>
  </si>
  <si>
    <t>questionario</t>
  </si>
  <si>
    <t>Você conhece o organograma administrativo da FPM?</t>
  </si>
  <si>
    <t>Você conhece os procedimentos administrativos da FPM?</t>
  </si>
  <si>
    <t>As informações sobre os procedimentos administrativos são de fácil acesso?</t>
  </si>
  <si>
    <t>A direção atende aos anseios da comunidade acadêmica e administrativa?</t>
  </si>
  <si>
    <t>Os diretores demonstram interesse pelas reivindicações e agem no sentido de atendê-las?</t>
  </si>
  <si>
    <t>O campus oferece condições adequadas de facilidade de acesso e segurança?</t>
  </si>
  <si>
    <t>O ambiente para as aulas é apropriado quanto à acústica, luminosidade, carteiras e ventilação?</t>
  </si>
  <si>
    <t>Os equipamentos dos laboratórios de informática atendem as necessidades acadêmicas?</t>
  </si>
  <si>
    <t>Os recursos instrucionais (projetor multimídia, TV, áudio, vídeo etc) atendem as necessidades acadêmicas?</t>
  </si>
  <si>
    <t>Os laboratórios de ensino atendem as necessidades acadêmicas?</t>
  </si>
  <si>
    <t>A cantina atende as necessidades da comunidade acadêmica e administrativa?</t>
  </si>
  <si>
    <t>As instalações físicas atendem aos critérios de acessibilidade às pessoas com deficiência (PCD)?</t>
  </si>
  <si>
    <t>Os serviços de limpeza são adequados?</t>
  </si>
  <si>
    <t>Os serviços de biblioteca atendem aos anseios da comunidade acadêmica?</t>
  </si>
  <si>
    <t>Os serviços do ambiente virtual são adequados?</t>
  </si>
  <si>
    <t>Os serviços do estacionamento interno são adequados?</t>
  </si>
  <si>
    <t>Você considera importante a realização da auto avaliação institucional pela CPA?</t>
  </si>
  <si>
    <t>Você participou de alguma pesquisa de avaliação, por disciplina, conteúdo, professores, didática etc?</t>
  </si>
  <si>
    <t>Houveram ações para implementar melhorias após os processos de avaliação?</t>
  </si>
  <si>
    <t>Você tem acesso aos resultados dos processos avaliativos?</t>
  </si>
  <si>
    <t>Qual seu grau de satisfação em ser aluno da FPM?</t>
  </si>
  <si>
    <t>A faculdade oferece atendimento acadêmico e administrativo aos discentes?</t>
  </si>
  <si>
    <t>O programa de estágio funciona adequadamente?</t>
  </si>
  <si>
    <t>O sistema de registros acadêmicos funciona adequadamente?</t>
  </si>
  <si>
    <t>Os discentes têm acesso ao núcleo de apoio psicopedagógico (NAP)?</t>
  </si>
  <si>
    <t>Os programas de intercâmbio atendem a demanda acadêmica?</t>
  </si>
  <si>
    <t>cxt_dimensao</t>
  </si>
  <si>
    <t>As condições de trabalho oferecidas pela FPM são adequadas?</t>
  </si>
  <si>
    <t>O número de docentes é suficiente para atender satisfatoriamente a FPM?</t>
  </si>
  <si>
    <t>O número de técnico-administrativos é suficiente para atender satisfatoriamente a FPM?</t>
  </si>
  <si>
    <t>Os servidores recebem apoio para a sua qualificação?</t>
  </si>
  <si>
    <t>A FPM possibilita o crescimento profissional dos servidores?</t>
  </si>
  <si>
    <t>Há organização, por parte dos servidores, no desempenho de suas atividades?</t>
  </si>
  <si>
    <t>Os servidores desempenham suas tarefas com responsabilidade?</t>
  </si>
  <si>
    <t>Os recursos materiais disponíveis são adequados as necessidades dos cursos?</t>
  </si>
  <si>
    <t>A FPM dispõe de recursos para realização de pesquisa, ensino e extensão?</t>
  </si>
  <si>
    <t>As atividades de divulgação da FPM são eficientes?</t>
  </si>
  <si>
    <t>COMUNIDADE</t>
  </si>
  <si>
    <t>O docente apresenta o plano de ensino da disciplina de forma sistematizada no início do semestre?</t>
  </si>
  <si>
    <t>DOCENTES</t>
  </si>
  <si>
    <t>DISCENTES</t>
  </si>
  <si>
    <t>TÉCNICOS_ADMINISTRATIVOS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</si>
</sst>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4CEA40-93DF-44DE-B673-06100A16D4C7}" name="Dimensões" displayName="Dimensões" ref="A1:E164" totalsRowShown="0">
  <autoFilter ref="A1:E164" xr:uid="{824CEA40-93DF-44DE-B673-06100A16D4C7}"/>
  <tableColumns count="5">
    <tableColumn id="1" xr3:uid="{69780742-F518-4B4F-B9B4-F9AECD6FDBCF}" name="N_da_questao"/>
    <tableColumn id="2" xr3:uid="{7E2D9AF7-A955-4A7A-A3FB-E671D4B9A122}" name="questao"/>
    <tableColumn id="3" xr3:uid="{919AA09E-97D1-4E8D-A5AE-6DD2A6F55134}" name="dimensao"/>
    <tableColumn id="6" xr3:uid="{93F4878C-13B5-4BE4-84FA-5794E0E9682C}" name="cxt_dimensao" dataDxfId="0">
      <calculatedColumnFormula>CHOOSE(C2,
"Missão e Plano de Desenvolvimento Institucional",
"Políticas para o Ensino, a Pesquisa e a Extensão",
"Responsabilidade Social da Instituição",
"Comunicação com a Sociedade",
"Políticas de Pessoal",
"Organização e Gestão da Instituição",
"Infraestrutura Física",
"Planejamento e Avaliação",
"Política de Atendimento aos Discentes",
"Sustentabilidade Financeira")</calculatedColumnFormula>
    </tableColumn>
    <tableColumn id="4" xr3:uid="{10413A61-82BE-421F-B658-0425577185F2}" name="questionar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4"/>
  <sheetViews>
    <sheetView tabSelected="1" zoomScale="115" zoomScaleNormal="115" workbookViewId="0">
      <selection activeCell="B90" sqref="B90"/>
    </sheetView>
  </sheetViews>
  <sheetFormatPr defaultRowHeight="15" x14ac:dyDescent="0.25"/>
  <cols>
    <col min="1" max="1" width="16.140625" bestFit="1" customWidth="1"/>
    <col min="2" max="2" width="151.140625" customWidth="1"/>
    <col min="3" max="3" width="3" customWidth="1"/>
    <col min="4" max="4" width="45.5703125" bestFit="1" customWidth="1"/>
    <col min="5" max="5" width="10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61</v>
      </c>
      <c r="E1" t="s">
        <v>34</v>
      </c>
    </row>
    <row r="2" spans="1:5" x14ac:dyDescent="0.25">
      <c r="A2">
        <f>ROW()-1</f>
        <v>1</v>
      </c>
      <c r="B2" t="s">
        <v>3</v>
      </c>
      <c r="C2">
        <v>1</v>
      </c>
      <c r="D2" t="str">
        <f t="shared" ref="D2:D33" si="0">CHOOSE(C2,
"Missão e Plano de Desenvolvimento Institucional",
"Políticas para o Ensino, a Pesquisa e a Extensão",
"Responsabilidade Social da Instituição",
"Comunicação com a Sociedade",
"Políticas de Pessoal",
"Organização e Gestão da Instituição",
"Infraestrutura Física",
"Planejamento e Avaliação",
"Política de Atendimento aos Discentes",
"Sustentabilidade Financeira")</f>
        <v>Missão e Plano de Desenvolvimento Institucional</v>
      </c>
      <c r="E2" t="s">
        <v>75</v>
      </c>
    </row>
    <row r="3" spans="1:5" x14ac:dyDescent="0.25">
      <c r="A3">
        <f t="shared" ref="A3:A66" si="1">ROW()-1</f>
        <v>2</v>
      </c>
      <c r="B3" t="s">
        <v>4</v>
      </c>
      <c r="C3">
        <v>1</v>
      </c>
      <c r="D3" t="str">
        <f t="shared" si="0"/>
        <v>Missão e Plano de Desenvolvimento Institucional</v>
      </c>
      <c r="E3" t="s">
        <v>75</v>
      </c>
    </row>
    <row r="4" spans="1:5" x14ac:dyDescent="0.25">
      <c r="A4">
        <f t="shared" si="1"/>
        <v>3</v>
      </c>
      <c r="B4" t="s">
        <v>5</v>
      </c>
      <c r="C4">
        <v>1</v>
      </c>
      <c r="D4" t="str">
        <f t="shared" si="0"/>
        <v>Missão e Plano de Desenvolvimento Institucional</v>
      </c>
      <c r="E4" t="s">
        <v>75</v>
      </c>
    </row>
    <row r="5" spans="1:5" x14ac:dyDescent="0.25">
      <c r="A5">
        <f t="shared" si="1"/>
        <v>4</v>
      </c>
      <c r="B5" t="s">
        <v>6</v>
      </c>
      <c r="C5">
        <v>1</v>
      </c>
      <c r="D5" t="str">
        <f t="shared" si="0"/>
        <v>Missão e Plano de Desenvolvimento Institucional</v>
      </c>
      <c r="E5" t="s">
        <v>75</v>
      </c>
    </row>
    <row r="6" spans="1:5" x14ac:dyDescent="0.25">
      <c r="A6">
        <f t="shared" si="1"/>
        <v>5</v>
      </c>
      <c r="B6" t="s">
        <v>7</v>
      </c>
      <c r="C6">
        <v>2</v>
      </c>
      <c r="D6" t="str">
        <f t="shared" si="0"/>
        <v>Políticas para o Ensino, a Pesquisa e a Extensão</v>
      </c>
      <c r="E6" t="s">
        <v>75</v>
      </c>
    </row>
    <row r="7" spans="1:5" x14ac:dyDescent="0.25">
      <c r="A7">
        <f t="shared" si="1"/>
        <v>6</v>
      </c>
      <c r="B7" t="s">
        <v>8</v>
      </c>
      <c r="C7">
        <v>2</v>
      </c>
      <c r="D7" t="str">
        <f t="shared" si="0"/>
        <v>Políticas para o Ensino, a Pesquisa e a Extensão</v>
      </c>
      <c r="E7" t="s">
        <v>75</v>
      </c>
    </row>
    <row r="8" spans="1:5" x14ac:dyDescent="0.25">
      <c r="A8">
        <f t="shared" si="1"/>
        <v>7</v>
      </c>
      <c r="B8" t="s">
        <v>9</v>
      </c>
      <c r="C8">
        <v>2</v>
      </c>
      <c r="D8" t="str">
        <f t="shared" si="0"/>
        <v>Políticas para o Ensino, a Pesquisa e a Extensão</v>
      </c>
      <c r="E8" t="s">
        <v>75</v>
      </c>
    </row>
    <row r="9" spans="1:5" x14ac:dyDescent="0.25">
      <c r="A9">
        <f t="shared" si="1"/>
        <v>8</v>
      </c>
      <c r="B9" t="s">
        <v>10</v>
      </c>
      <c r="C9">
        <v>2</v>
      </c>
      <c r="D9" t="str">
        <f t="shared" si="0"/>
        <v>Políticas para o Ensino, a Pesquisa e a Extensão</v>
      </c>
      <c r="E9" t="s">
        <v>75</v>
      </c>
    </row>
    <row r="10" spans="1:5" x14ac:dyDescent="0.25">
      <c r="A10">
        <f t="shared" si="1"/>
        <v>9</v>
      </c>
      <c r="B10" t="s">
        <v>11</v>
      </c>
      <c r="C10">
        <v>2</v>
      </c>
      <c r="D10" t="str">
        <f t="shared" si="0"/>
        <v>Políticas para o Ensino, a Pesquisa e a Extensão</v>
      </c>
      <c r="E10" t="s">
        <v>75</v>
      </c>
    </row>
    <row r="11" spans="1:5" x14ac:dyDescent="0.25">
      <c r="A11">
        <f t="shared" si="1"/>
        <v>10</v>
      </c>
      <c r="B11" t="s">
        <v>12</v>
      </c>
      <c r="C11">
        <v>2</v>
      </c>
      <c r="D11" t="str">
        <f t="shared" si="0"/>
        <v>Políticas para o Ensino, a Pesquisa e a Extensão</v>
      </c>
      <c r="E11" t="s">
        <v>75</v>
      </c>
    </row>
    <row r="12" spans="1:5" x14ac:dyDescent="0.25">
      <c r="A12">
        <f t="shared" si="1"/>
        <v>11</v>
      </c>
      <c r="B12" t="s">
        <v>13</v>
      </c>
      <c r="C12">
        <v>2</v>
      </c>
      <c r="D12" t="str">
        <f t="shared" si="0"/>
        <v>Políticas para o Ensino, a Pesquisa e a Extensão</v>
      </c>
      <c r="E12" t="s">
        <v>75</v>
      </c>
    </row>
    <row r="13" spans="1:5" x14ac:dyDescent="0.25">
      <c r="A13">
        <f t="shared" si="1"/>
        <v>12</v>
      </c>
      <c r="B13" t="s">
        <v>14</v>
      </c>
      <c r="C13">
        <v>2</v>
      </c>
      <c r="D13" t="str">
        <f t="shared" si="0"/>
        <v>Políticas para o Ensino, a Pesquisa e a Extensão</v>
      </c>
      <c r="E13" t="s">
        <v>75</v>
      </c>
    </row>
    <row r="14" spans="1:5" x14ac:dyDescent="0.25">
      <c r="A14">
        <f t="shared" si="1"/>
        <v>13</v>
      </c>
      <c r="B14" t="s">
        <v>15</v>
      </c>
      <c r="C14">
        <v>2</v>
      </c>
      <c r="D14" t="str">
        <f t="shared" si="0"/>
        <v>Políticas para o Ensino, a Pesquisa e a Extensão</v>
      </c>
      <c r="E14" t="s">
        <v>75</v>
      </c>
    </row>
    <row r="15" spans="1:5" x14ac:dyDescent="0.25">
      <c r="A15">
        <f t="shared" si="1"/>
        <v>14</v>
      </c>
      <c r="B15" t="s">
        <v>16</v>
      </c>
      <c r="C15">
        <v>2</v>
      </c>
      <c r="D15" t="str">
        <f t="shared" si="0"/>
        <v>Políticas para o Ensino, a Pesquisa e a Extensão</v>
      </c>
      <c r="E15" t="s">
        <v>75</v>
      </c>
    </row>
    <row r="16" spans="1:5" x14ac:dyDescent="0.25">
      <c r="A16">
        <f t="shared" si="1"/>
        <v>15</v>
      </c>
      <c r="B16" t="s">
        <v>17</v>
      </c>
      <c r="C16">
        <v>2</v>
      </c>
      <c r="D16" t="str">
        <f t="shared" si="0"/>
        <v>Políticas para o Ensino, a Pesquisa e a Extensão</v>
      </c>
      <c r="E16" t="s">
        <v>75</v>
      </c>
    </row>
    <row r="17" spans="1:5" x14ac:dyDescent="0.25">
      <c r="A17">
        <f t="shared" si="1"/>
        <v>16</v>
      </c>
      <c r="B17" t="s">
        <v>18</v>
      </c>
      <c r="C17">
        <v>2</v>
      </c>
      <c r="D17" t="str">
        <f t="shared" si="0"/>
        <v>Políticas para o Ensino, a Pesquisa e a Extensão</v>
      </c>
      <c r="E17" t="s">
        <v>75</v>
      </c>
    </row>
    <row r="18" spans="1:5" x14ac:dyDescent="0.25">
      <c r="A18">
        <f t="shared" si="1"/>
        <v>17</v>
      </c>
      <c r="B18" t="s">
        <v>19</v>
      </c>
      <c r="C18">
        <v>2</v>
      </c>
      <c r="D18" t="str">
        <f t="shared" si="0"/>
        <v>Políticas para o Ensino, a Pesquisa e a Extensão</v>
      </c>
      <c r="E18" t="s">
        <v>75</v>
      </c>
    </row>
    <row r="19" spans="1:5" x14ac:dyDescent="0.25">
      <c r="A19">
        <f t="shared" si="1"/>
        <v>18</v>
      </c>
      <c r="B19" t="s">
        <v>20</v>
      </c>
      <c r="C19">
        <v>2</v>
      </c>
      <c r="D19" t="str">
        <f t="shared" si="0"/>
        <v>Políticas para o Ensino, a Pesquisa e a Extensão</v>
      </c>
      <c r="E19" t="s">
        <v>75</v>
      </c>
    </row>
    <row r="20" spans="1:5" x14ac:dyDescent="0.25">
      <c r="A20">
        <f t="shared" si="1"/>
        <v>19</v>
      </c>
      <c r="B20" t="s">
        <v>21</v>
      </c>
      <c r="C20">
        <v>2</v>
      </c>
      <c r="D20" t="str">
        <f t="shared" si="0"/>
        <v>Políticas para o Ensino, a Pesquisa e a Extensão</v>
      </c>
      <c r="E20" t="s">
        <v>75</v>
      </c>
    </row>
    <row r="21" spans="1:5" x14ac:dyDescent="0.25">
      <c r="A21">
        <f t="shared" si="1"/>
        <v>20</v>
      </c>
      <c r="B21" t="s">
        <v>22</v>
      </c>
      <c r="C21">
        <v>2</v>
      </c>
      <c r="D21" t="str">
        <f t="shared" si="0"/>
        <v>Políticas para o Ensino, a Pesquisa e a Extensão</v>
      </c>
      <c r="E21" t="s">
        <v>75</v>
      </c>
    </row>
    <row r="22" spans="1:5" x14ac:dyDescent="0.25">
      <c r="A22">
        <f t="shared" si="1"/>
        <v>21</v>
      </c>
      <c r="B22" t="s">
        <v>23</v>
      </c>
      <c r="C22">
        <v>2</v>
      </c>
      <c r="D22" t="str">
        <f t="shared" si="0"/>
        <v>Políticas para o Ensino, a Pesquisa e a Extensão</v>
      </c>
      <c r="E22" t="s">
        <v>75</v>
      </c>
    </row>
    <row r="23" spans="1:5" x14ac:dyDescent="0.25">
      <c r="A23">
        <f t="shared" si="1"/>
        <v>22</v>
      </c>
      <c r="B23" t="s">
        <v>24</v>
      </c>
      <c r="C23">
        <v>2</v>
      </c>
      <c r="D23" t="str">
        <f t="shared" si="0"/>
        <v>Políticas para o Ensino, a Pesquisa e a Extensão</v>
      </c>
      <c r="E23" t="s">
        <v>75</v>
      </c>
    </row>
    <row r="24" spans="1:5" x14ac:dyDescent="0.25">
      <c r="A24">
        <f t="shared" si="1"/>
        <v>23</v>
      </c>
      <c r="B24" t="s">
        <v>25</v>
      </c>
      <c r="C24">
        <v>2</v>
      </c>
      <c r="D24" t="str">
        <f t="shared" si="0"/>
        <v>Políticas para o Ensino, a Pesquisa e a Extensão</v>
      </c>
      <c r="E24" t="s">
        <v>75</v>
      </c>
    </row>
    <row r="25" spans="1:5" x14ac:dyDescent="0.25">
      <c r="A25">
        <f t="shared" si="1"/>
        <v>24</v>
      </c>
      <c r="B25" t="s">
        <v>26</v>
      </c>
      <c r="C25">
        <v>3</v>
      </c>
      <c r="D25" t="str">
        <f t="shared" si="0"/>
        <v>Responsabilidade Social da Instituição</v>
      </c>
      <c r="E25" t="s">
        <v>75</v>
      </c>
    </row>
    <row r="26" spans="1:5" x14ac:dyDescent="0.25">
      <c r="A26">
        <f t="shared" si="1"/>
        <v>25</v>
      </c>
      <c r="B26" t="s">
        <v>27</v>
      </c>
      <c r="C26">
        <v>3</v>
      </c>
      <c r="D26" t="str">
        <f t="shared" si="0"/>
        <v>Responsabilidade Social da Instituição</v>
      </c>
      <c r="E26" t="s">
        <v>75</v>
      </c>
    </row>
    <row r="27" spans="1:5" x14ac:dyDescent="0.25">
      <c r="A27">
        <f t="shared" si="1"/>
        <v>26</v>
      </c>
      <c r="B27" t="s">
        <v>28</v>
      </c>
      <c r="C27">
        <v>3</v>
      </c>
      <c r="D27" t="str">
        <f t="shared" si="0"/>
        <v>Responsabilidade Social da Instituição</v>
      </c>
      <c r="E27" t="s">
        <v>75</v>
      </c>
    </row>
    <row r="28" spans="1:5" x14ac:dyDescent="0.25">
      <c r="A28">
        <f t="shared" si="1"/>
        <v>27</v>
      </c>
      <c r="B28" t="s">
        <v>29</v>
      </c>
      <c r="C28">
        <v>3</v>
      </c>
      <c r="D28" t="str">
        <f t="shared" si="0"/>
        <v>Responsabilidade Social da Instituição</v>
      </c>
      <c r="E28" t="s">
        <v>75</v>
      </c>
    </row>
    <row r="29" spans="1:5" x14ac:dyDescent="0.25">
      <c r="A29">
        <f t="shared" si="1"/>
        <v>28</v>
      </c>
      <c r="B29" t="s">
        <v>30</v>
      </c>
      <c r="C29">
        <v>3</v>
      </c>
      <c r="D29" t="str">
        <f t="shared" si="0"/>
        <v>Responsabilidade Social da Instituição</v>
      </c>
      <c r="E29" t="s">
        <v>75</v>
      </c>
    </row>
    <row r="30" spans="1:5" x14ac:dyDescent="0.25">
      <c r="A30">
        <f t="shared" si="1"/>
        <v>29</v>
      </c>
      <c r="B30" t="s">
        <v>26</v>
      </c>
      <c r="C30">
        <v>3</v>
      </c>
      <c r="D30" t="str">
        <f t="shared" si="0"/>
        <v>Responsabilidade Social da Instituição</v>
      </c>
      <c r="E30" t="s">
        <v>75</v>
      </c>
    </row>
    <row r="31" spans="1:5" x14ac:dyDescent="0.25">
      <c r="A31">
        <f t="shared" si="1"/>
        <v>30</v>
      </c>
      <c r="B31" t="s">
        <v>31</v>
      </c>
      <c r="C31">
        <v>4</v>
      </c>
      <c r="D31" t="str">
        <f t="shared" si="0"/>
        <v>Comunicação com a Sociedade</v>
      </c>
      <c r="E31" t="s">
        <v>75</v>
      </c>
    </row>
    <row r="32" spans="1:5" x14ac:dyDescent="0.25">
      <c r="A32">
        <f t="shared" si="1"/>
        <v>31</v>
      </c>
      <c r="B32" t="s">
        <v>32</v>
      </c>
      <c r="C32">
        <v>4</v>
      </c>
      <c r="D32" t="str">
        <f t="shared" si="0"/>
        <v>Comunicação com a Sociedade</v>
      </c>
      <c r="E32" t="s">
        <v>75</v>
      </c>
    </row>
    <row r="33" spans="1:5" x14ac:dyDescent="0.25">
      <c r="A33">
        <f t="shared" si="1"/>
        <v>32</v>
      </c>
      <c r="B33" t="s">
        <v>33</v>
      </c>
      <c r="C33">
        <v>4</v>
      </c>
      <c r="D33" t="str">
        <f t="shared" si="0"/>
        <v>Comunicação com a Sociedade</v>
      </c>
      <c r="E33" t="s">
        <v>75</v>
      </c>
    </row>
    <row r="34" spans="1:5" x14ac:dyDescent="0.25">
      <c r="A34">
        <f t="shared" si="1"/>
        <v>33</v>
      </c>
      <c r="B34" t="s">
        <v>35</v>
      </c>
      <c r="C34">
        <v>6</v>
      </c>
      <c r="D34" t="str">
        <f t="shared" ref="D34:D59" si="2">CHOOSE(C34,
"Missão e Plano de Desenvolvimento Institucional",
"Políticas para o Ensino, a Pesquisa e a Extensão",
"Responsabilidade Social da Instituição",
"Comunicação com a Sociedade",
"Políticas de Pessoal",
"Organização e Gestão da Instituição",
"Infraestrutura Física",
"Planejamento e Avaliação",
"Política de Atendimento aos Discentes",
"Sustentabilidade Financeira")</f>
        <v>Organização e Gestão da Instituição</v>
      </c>
      <c r="E34" t="s">
        <v>75</v>
      </c>
    </row>
    <row r="35" spans="1:5" x14ac:dyDescent="0.25">
      <c r="A35">
        <f t="shared" si="1"/>
        <v>34</v>
      </c>
      <c r="B35" t="s">
        <v>36</v>
      </c>
      <c r="C35">
        <v>6</v>
      </c>
      <c r="D35" t="str">
        <f t="shared" si="2"/>
        <v>Organização e Gestão da Instituição</v>
      </c>
      <c r="E35" t="s">
        <v>75</v>
      </c>
    </row>
    <row r="36" spans="1:5" x14ac:dyDescent="0.25">
      <c r="A36">
        <f t="shared" si="1"/>
        <v>35</v>
      </c>
      <c r="B36" t="s">
        <v>37</v>
      </c>
      <c r="C36">
        <v>6</v>
      </c>
      <c r="D36" t="str">
        <f t="shared" si="2"/>
        <v>Organização e Gestão da Instituição</v>
      </c>
      <c r="E36" t="s">
        <v>75</v>
      </c>
    </row>
    <row r="37" spans="1:5" x14ac:dyDescent="0.25">
      <c r="A37">
        <f t="shared" si="1"/>
        <v>36</v>
      </c>
      <c r="B37" t="s">
        <v>38</v>
      </c>
      <c r="C37">
        <v>6</v>
      </c>
      <c r="D37" t="str">
        <f t="shared" si="2"/>
        <v>Organização e Gestão da Instituição</v>
      </c>
      <c r="E37" t="s">
        <v>75</v>
      </c>
    </row>
    <row r="38" spans="1:5" x14ac:dyDescent="0.25">
      <c r="A38">
        <f t="shared" si="1"/>
        <v>37</v>
      </c>
      <c r="B38" t="s">
        <v>39</v>
      </c>
      <c r="C38">
        <v>6</v>
      </c>
      <c r="D38" t="str">
        <f t="shared" si="2"/>
        <v>Organização e Gestão da Instituição</v>
      </c>
      <c r="E38" t="s">
        <v>75</v>
      </c>
    </row>
    <row r="39" spans="1:5" x14ac:dyDescent="0.25">
      <c r="A39">
        <f t="shared" si="1"/>
        <v>38</v>
      </c>
      <c r="B39" t="s">
        <v>40</v>
      </c>
      <c r="C39">
        <v>7</v>
      </c>
      <c r="D39" t="str">
        <f t="shared" si="2"/>
        <v>Infraestrutura Física</v>
      </c>
      <c r="E39" t="s">
        <v>75</v>
      </c>
    </row>
    <row r="40" spans="1:5" x14ac:dyDescent="0.25">
      <c r="A40">
        <f t="shared" si="1"/>
        <v>39</v>
      </c>
      <c r="B40" t="s">
        <v>41</v>
      </c>
      <c r="C40">
        <v>7</v>
      </c>
      <c r="D40" t="str">
        <f t="shared" si="2"/>
        <v>Infraestrutura Física</v>
      </c>
      <c r="E40" t="s">
        <v>75</v>
      </c>
    </row>
    <row r="41" spans="1:5" x14ac:dyDescent="0.25">
      <c r="A41">
        <f t="shared" si="1"/>
        <v>40</v>
      </c>
      <c r="B41" t="s">
        <v>42</v>
      </c>
      <c r="C41">
        <v>7</v>
      </c>
      <c r="D41" t="str">
        <f t="shared" si="2"/>
        <v>Infraestrutura Física</v>
      </c>
      <c r="E41" t="s">
        <v>75</v>
      </c>
    </row>
    <row r="42" spans="1:5" x14ac:dyDescent="0.25">
      <c r="A42">
        <f t="shared" si="1"/>
        <v>41</v>
      </c>
      <c r="B42" t="s">
        <v>43</v>
      </c>
      <c r="C42">
        <v>7</v>
      </c>
      <c r="D42" t="str">
        <f t="shared" si="2"/>
        <v>Infraestrutura Física</v>
      </c>
      <c r="E42" t="s">
        <v>75</v>
      </c>
    </row>
    <row r="43" spans="1:5" x14ac:dyDescent="0.25">
      <c r="A43">
        <f t="shared" si="1"/>
        <v>42</v>
      </c>
      <c r="B43" t="s">
        <v>44</v>
      </c>
      <c r="C43">
        <v>7</v>
      </c>
      <c r="D43" t="str">
        <f t="shared" si="2"/>
        <v>Infraestrutura Física</v>
      </c>
      <c r="E43" t="s">
        <v>75</v>
      </c>
    </row>
    <row r="44" spans="1:5" x14ac:dyDescent="0.25">
      <c r="A44">
        <f t="shared" si="1"/>
        <v>43</v>
      </c>
      <c r="B44" t="s">
        <v>45</v>
      </c>
      <c r="C44">
        <v>7</v>
      </c>
      <c r="D44" t="str">
        <f t="shared" si="2"/>
        <v>Infraestrutura Física</v>
      </c>
      <c r="E44" t="s">
        <v>75</v>
      </c>
    </row>
    <row r="45" spans="1:5" x14ac:dyDescent="0.25">
      <c r="A45">
        <f t="shared" si="1"/>
        <v>44</v>
      </c>
      <c r="B45" t="s">
        <v>46</v>
      </c>
      <c r="C45">
        <v>7</v>
      </c>
      <c r="D45" t="str">
        <f t="shared" si="2"/>
        <v>Infraestrutura Física</v>
      </c>
      <c r="E45" t="s">
        <v>75</v>
      </c>
    </row>
    <row r="46" spans="1:5" x14ac:dyDescent="0.25">
      <c r="A46">
        <f t="shared" si="1"/>
        <v>45</v>
      </c>
      <c r="B46" t="s">
        <v>47</v>
      </c>
      <c r="C46">
        <v>7</v>
      </c>
      <c r="D46" t="str">
        <f t="shared" si="2"/>
        <v>Infraestrutura Física</v>
      </c>
      <c r="E46" t="s">
        <v>75</v>
      </c>
    </row>
    <row r="47" spans="1:5" x14ac:dyDescent="0.25">
      <c r="A47">
        <f t="shared" si="1"/>
        <v>46</v>
      </c>
      <c r="B47" t="s">
        <v>48</v>
      </c>
      <c r="C47">
        <v>7</v>
      </c>
      <c r="D47" t="str">
        <f t="shared" si="2"/>
        <v>Infraestrutura Física</v>
      </c>
      <c r="E47" t="s">
        <v>75</v>
      </c>
    </row>
    <row r="48" spans="1:5" x14ac:dyDescent="0.25">
      <c r="A48">
        <f t="shared" si="1"/>
        <v>47</v>
      </c>
      <c r="B48" t="s">
        <v>49</v>
      </c>
      <c r="C48">
        <v>7</v>
      </c>
      <c r="D48" t="str">
        <f t="shared" si="2"/>
        <v>Infraestrutura Física</v>
      </c>
      <c r="E48" t="s">
        <v>75</v>
      </c>
    </row>
    <row r="49" spans="1:5" x14ac:dyDescent="0.25">
      <c r="A49">
        <f t="shared" si="1"/>
        <v>48</v>
      </c>
      <c r="B49" t="s">
        <v>50</v>
      </c>
      <c r="C49">
        <v>7</v>
      </c>
      <c r="D49" t="str">
        <f t="shared" si="2"/>
        <v>Infraestrutura Física</v>
      </c>
      <c r="E49" t="s">
        <v>75</v>
      </c>
    </row>
    <row r="50" spans="1:5" x14ac:dyDescent="0.25">
      <c r="A50">
        <f t="shared" si="1"/>
        <v>49</v>
      </c>
      <c r="B50" t="s">
        <v>51</v>
      </c>
      <c r="C50">
        <v>8</v>
      </c>
      <c r="D50" t="str">
        <f t="shared" si="2"/>
        <v>Planejamento e Avaliação</v>
      </c>
      <c r="E50" t="s">
        <v>75</v>
      </c>
    </row>
    <row r="51" spans="1:5" x14ac:dyDescent="0.25">
      <c r="A51">
        <f t="shared" si="1"/>
        <v>50</v>
      </c>
      <c r="B51" t="s">
        <v>52</v>
      </c>
      <c r="C51">
        <v>8</v>
      </c>
      <c r="D51" t="str">
        <f t="shared" si="2"/>
        <v>Planejamento e Avaliação</v>
      </c>
      <c r="E51" t="s">
        <v>75</v>
      </c>
    </row>
    <row r="52" spans="1:5" x14ac:dyDescent="0.25">
      <c r="A52">
        <f t="shared" si="1"/>
        <v>51</v>
      </c>
      <c r="B52" t="s">
        <v>53</v>
      </c>
      <c r="C52">
        <v>8</v>
      </c>
      <c r="D52" t="str">
        <f t="shared" si="2"/>
        <v>Planejamento e Avaliação</v>
      </c>
      <c r="E52" t="s">
        <v>75</v>
      </c>
    </row>
    <row r="53" spans="1:5" x14ac:dyDescent="0.25">
      <c r="A53">
        <f t="shared" si="1"/>
        <v>52</v>
      </c>
      <c r="B53" t="s">
        <v>54</v>
      </c>
      <c r="C53">
        <v>8</v>
      </c>
      <c r="D53" t="str">
        <f t="shared" si="2"/>
        <v>Planejamento e Avaliação</v>
      </c>
      <c r="E53" t="s">
        <v>75</v>
      </c>
    </row>
    <row r="54" spans="1:5" x14ac:dyDescent="0.25">
      <c r="A54">
        <f t="shared" si="1"/>
        <v>53</v>
      </c>
      <c r="B54" t="s">
        <v>55</v>
      </c>
      <c r="C54">
        <v>8</v>
      </c>
      <c r="D54" t="str">
        <f t="shared" si="2"/>
        <v>Planejamento e Avaliação</v>
      </c>
      <c r="E54" t="s">
        <v>75</v>
      </c>
    </row>
    <row r="55" spans="1:5" x14ac:dyDescent="0.25">
      <c r="A55">
        <f t="shared" si="1"/>
        <v>54</v>
      </c>
      <c r="B55" t="s">
        <v>56</v>
      </c>
      <c r="C55">
        <v>9</v>
      </c>
      <c r="D55" t="str">
        <f t="shared" si="2"/>
        <v>Política de Atendimento aos Discentes</v>
      </c>
      <c r="E55" t="s">
        <v>75</v>
      </c>
    </row>
    <row r="56" spans="1:5" x14ac:dyDescent="0.25">
      <c r="A56">
        <f t="shared" si="1"/>
        <v>55</v>
      </c>
      <c r="B56" t="s">
        <v>57</v>
      </c>
      <c r="C56">
        <v>9</v>
      </c>
      <c r="D56" t="str">
        <f t="shared" si="2"/>
        <v>Política de Atendimento aos Discentes</v>
      </c>
      <c r="E56" t="s">
        <v>75</v>
      </c>
    </row>
    <row r="57" spans="1:5" x14ac:dyDescent="0.25">
      <c r="A57">
        <f t="shared" si="1"/>
        <v>56</v>
      </c>
      <c r="B57" t="s">
        <v>58</v>
      </c>
      <c r="C57">
        <v>9</v>
      </c>
      <c r="D57" t="str">
        <f t="shared" si="2"/>
        <v>Política de Atendimento aos Discentes</v>
      </c>
      <c r="E57" t="s">
        <v>75</v>
      </c>
    </row>
    <row r="58" spans="1:5" x14ac:dyDescent="0.25">
      <c r="A58">
        <f t="shared" si="1"/>
        <v>57</v>
      </c>
      <c r="B58" t="s">
        <v>59</v>
      </c>
      <c r="C58">
        <v>9</v>
      </c>
      <c r="D58" t="str">
        <f t="shared" si="2"/>
        <v>Política de Atendimento aos Discentes</v>
      </c>
      <c r="E58" t="s">
        <v>75</v>
      </c>
    </row>
    <row r="59" spans="1:5" x14ac:dyDescent="0.25">
      <c r="A59">
        <f t="shared" si="1"/>
        <v>58</v>
      </c>
      <c r="B59" t="s">
        <v>60</v>
      </c>
      <c r="C59">
        <v>9</v>
      </c>
      <c r="D59" t="str">
        <f t="shared" si="2"/>
        <v>Política de Atendimento aos Discentes</v>
      </c>
      <c r="E59" t="s">
        <v>75</v>
      </c>
    </row>
    <row r="60" spans="1:5" x14ac:dyDescent="0.25">
      <c r="A60">
        <f t="shared" si="1"/>
        <v>59</v>
      </c>
      <c r="B60" t="s">
        <v>3</v>
      </c>
      <c r="C60">
        <v>1</v>
      </c>
      <c r="D60" t="str">
        <f t="shared" ref="D60:D63" si="3">CHOOSE(C60,
"Missão e Plano de Desenvolvimento Institucional",
"Políticas para o Ensino, a Pesquisa e a Extensão",
"Responsabilidade Social da Instituição",
"Comunicação com a Sociedade",
"Políticas de Pessoal",
"Organização e Gestão da Instituição",
"Infraestrutura Física",
"Planejamento e Avaliação",
"Política de Atendimento aos Discentes",
"Sustentabilidade Financeira")</f>
        <v>Missão e Plano de Desenvolvimento Institucional</v>
      </c>
      <c r="E60" t="s">
        <v>74</v>
      </c>
    </row>
    <row r="61" spans="1:5" x14ac:dyDescent="0.25">
      <c r="A61">
        <f t="shared" si="1"/>
        <v>60</v>
      </c>
      <c r="B61" t="s">
        <v>4</v>
      </c>
      <c r="C61">
        <v>1</v>
      </c>
      <c r="D61" t="str">
        <f t="shared" si="3"/>
        <v>Missão e Plano de Desenvolvimento Institucional</v>
      </c>
      <c r="E61" t="s">
        <v>74</v>
      </c>
    </row>
    <row r="62" spans="1:5" x14ac:dyDescent="0.25">
      <c r="A62">
        <f t="shared" si="1"/>
        <v>61</v>
      </c>
      <c r="B62" t="s">
        <v>5</v>
      </c>
      <c r="C62">
        <v>1</v>
      </c>
      <c r="D62" t="str">
        <f t="shared" si="3"/>
        <v>Missão e Plano de Desenvolvimento Institucional</v>
      </c>
      <c r="E62" t="s">
        <v>74</v>
      </c>
    </row>
    <row r="63" spans="1:5" x14ac:dyDescent="0.25">
      <c r="A63">
        <f t="shared" si="1"/>
        <v>62</v>
      </c>
      <c r="B63" t="s">
        <v>6</v>
      </c>
      <c r="C63">
        <v>1</v>
      </c>
      <c r="D63" t="str">
        <f t="shared" si="3"/>
        <v>Missão e Plano de Desenvolvimento Institucional</v>
      </c>
      <c r="E63" t="s">
        <v>74</v>
      </c>
    </row>
    <row r="64" spans="1:5" x14ac:dyDescent="0.25">
      <c r="A64">
        <f t="shared" si="1"/>
        <v>63</v>
      </c>
      <c r="B64" t="s">
        <v>7</v>
      </c>
      <c r="C64">
        <v>2</v>
      </c>
      <c r="D64" t="str">
        <f t="shared" ref="D64:D81" si="4">CHOOSE(C64,
"Missão e Plano de Desenvolvimento Institucional",
"Políticas para o Ensino, a Pesquisa e a Extensão",
"Responsabilidade Social da Instituição",
"Comunicação com a Sociedade",
"Políticas de Pessoal",
"Organização e Gestão da Instituição",
"Infraestrutura Física",
"Planejamento e Avaliação",
"Política de Atendimento aos Discentes",
"Sustentabilidade Financeira")</f>
        <v>Políticas para o Ensino, a Pesquisa e a Extensão</v>
      </c>
      <c r="E64" t="s">
        <v>74</v>
      </c>
    </row>
    <row r="65" spans="1:5" x14ac:dyDescent="0.25">
      <c r="A65">
        <f t="shared" si="1"/>
        <v>64</v>
      </c>
      <c r="B65" t="s">
        <v>8</v>
      </c>
      <c r="C65">
        <v>2</v>
      </c>
      <c r="D65" t="str">
        <f t="shared" si="4"/>
        <v>Políticas para o Ensino, a Pesquisa e a Extensão</v>
      </c>
      <c r="E65" t="s">
        <v>74</v>
      </c>
    </row>
    <row r="66" spans="1:5" x14ac:dyDescent="0.25">
      <c r="A66">
        <f t="shared" si="1"/>
        <v>65</v>
      </c>
      <c r="B66" t="s">
        <v>9</v>
      </c>
      <c r="C66">
        <v>2</v>
      </c>
      <c r="D66" t="str">
        <f t="shared" si="4"/>
        <v>Políticas para o Ensino, a Pesquisa e a Extensão</v>
      </c>
      <c r="E66" t="s">
        <v>74</v>
      </c>
    </row>
    <row r="67" spans="1:5" x14ac:dyDescent="0.25">
      <c r="A67">
        <f t="shared" ref="A67:A130" si="5">ROW()-1</f>
        <v>66</v>
      </c>
      <c r="B67" t="s">
        <v>10</v>
      </c>
      <c r="C67">
        <v>2</v>
      </c>
      <c r="D67" t="str">
        <f t="shared" si="4"/>
        <v>Políticas para o Ensino, a Pesquisa e a Extensão</v>
      </c>
      <c r="E67" t="s">
        <v>74</v>
      </c>
    </row>
    <row r="68" spans="1:5" x14ac:dyDescent="0.25">
      <c r="A68">
        <f t="shared" si="5"/>
        <v>67</v>
      </c>
      <c r="B68" t="s">
        <v>11</v>
      </c>
      <c r="C68">
        <v>2</v>
      </c>
      <c r="D68" t="str">
        <f t="shared" si="4"/>
        <v>Políticas para o Ensino, a Pesquisa e a Extensão</v>
      </c>
      <c r="E68" t="s">
        <v>74</v>
      </c>
    </row>
    <row r="69" spans="1:5" x14ac:dyDescent="0.25">
      <c r="A69">
        <f t="shared" si="5"/>
        <v>68</v>
      </c>
      <c r="B69" t="s">
        <v>73</v>
      </c>
      <c r="C69">
        <v>2</v>
      </c>
      <c r="D69" t="str">
        <f t="shared" si="4"/>
        <v>Políticas para o Ensino, a Pesquisa e a Extensão</v>
      </c>
      <c r="E69" t="s">
        <v>74</v>
      </c>
    </row>
    <row r="70" spans="1:5" x14ac:dyDescent="0.25">
      <c r="A70">
        <f t="shared" si="5"/>
        <v>69</v>
      </c>
      <c r="B70" t="s">
        <v>13</v>
      </c>
      <c r="C70">
        <v>2</v>
      </c>
      <c r="D70" t="str">
        <f t="shared" si="4"/>
        <v>Políticas para o Ensino, a Pesquisa e a Extensão</v>
      </c>
      <c r="E70" t="s">
        <v>74</v>
      </c>
    </row>
    <row r="71" spans="1:5" x14ac:dyDescent="0.25">
      <c r="A71">
        <f t="shared" si="5"/>
        <v>70</v>
      </c>
      <c r="B71" t="s">
        <v>14</v>
      </c>
      <c r="C71">
        <v>2</v>
      </c>
      <c r="D71" t="str">
        <f t="shared" si="4"/>
        <v>Políticas para o Ensino, a Pesquisa e a Extensão</v>
      </c>
      <c r="E71" t="s">
        <v>74</v>
      </c>
    </row>
    <row r="72" spans="1:5" x14ac:dyDescent="0.25">
      <c r="A72">
        <f t="shared" si="5"/>
        <v>71</v>
      </c>
      <c r="B72" t="s">
        <v>15</v>
      </c>
      <c r="C72">
        <v>2</v>
      </c>
      <c r="D72" t="str">
        <f t="shared" si="4"/>
        <v>Políticas para o Ensino, a Pesquisa e a Extensão</v>
      </c>
      <c r="E72" t="s">
        <v>74</v>
      </c>
    </row>
    <row r="73" spans="1:5" x14ac:dyDescent="0.25">
      <c r="A73">
        <f t="shared" si="5"/>
        <v>72</v>
      </c>
      <c r="B73" t="s">
        <v>16</v>
      </c>
      <c r="C73">
        <v>2</v>
      </c>
      <c r="D73" t="str">
        <f t="shared" si="4"/>
        <v>Políticas para o Ensino, a Pesquisa e a Extensão</v>
      </c>
      <c r="E73" t="s">
        <v>74</v>
      </c>
    </row>
    <row r="74" spans="1:5" x14ac:dyDescent="0.25">
      <c r="A74">
        <f t="shared" si="5"/>
        <v>73</v>
      </c>
      <c r="B74" t="s">
        <v>17</v>
      </c>
      <c r="C74">
        <v>2</v>
      </c>
      <c r="D74" t="str">
        <f t="shared" si="4"/>
        <v>Políticas para o Ensino, a Pesquisa e a Extensão</v>
      </c>
      <c r="E74" t="s">
        <v>74</v>
      </c>
    </row>
    <row r="75" spans="1:5" x14ac:dyDescent="0.25">
      <c r="A75">
        <f t="shared" si="5"/>
        <v>74</v>
      </c>
      <c r="B75" t="s">
        <v>18</v>
      </c>
      <c r="C75">
        <v>2</v>
      </c>
      <c r="D75" t="str">
        <f t="shared" si="4"/>
        <v>Políticas para o Ensino, a Pesquisa e a Extensão</v>
      </c>
      <c r="E75" t="s">
        <v>74</v>
      </c>
    </row>
    <row r="76" spans="1:5" x14ac:dyDescent="0.25">
      <c r="A76">
        <f t="shared" si="5"/>
        <v>75</v>
      </c>
      <c r="B76" t="s">
        <v>19</v>
      </c>
      <c r="C76">
        <v>2</v>
      </c>
      <c r="D76" t="str">
        <f t="shared" si="4"/>
        <v>Políticas para o Ensino, a Pesquisa e a Extensão</v>
      </c>
      <c r="E76" t="s">
        <v>74</v>
      </c>
    </row>
    <row r="77" spans="1:5" x14ac:dyDescent="0.25">
      <c r="A77">
        <f t="shared" si="5"/>
        <v>76</v>
      </c>
      <c r="B77" t="s">
        <v>20</v>
      </c>
      <c r="C77">
        <v>2</v>
      </c>
      <c r="D77" t="str">
        <f t="shared" si="4"/>
        <v>Políticas para o Ensino, a Pesquisa e a Extensão</v>
      </c>
      <c r="E77" t="s">
        <v>74</v>
      </c>
    </row>
    <row r="78" spans="1:5" x14ac:dyDescent="0.25">
      <c r="A78">
        <f t="shared" si="5"/>
        <v>77</v>
      </c>
      <c r="B78" t="s">
        <v>22</v>
      </c>
      <c r="C78">
        <v>2</v>
      </c>
      <c r="D78" t="str">
        <f t="shared" si="4"/>
        <v>Políticas para o Ensino, a Pesquisa e a Extensão</v>
      </c>
      <c r="E78" t="s">
        <v>74</v>
      </c>
    </row>
    <row r="79" spans="1:5" x14ac:dyDescent="0.25">
      <c r="A79">
        <f t="shared" si="5"/>
        <v>78</v>
      </c>
      <c r="B79" t="s">
        <v>23</v>
      </c>
      <c r="C79">
        <v>2</v>
      </c>
      <c r="D79" t="str">
        <f t="shared" si="4"/>
        <v>Políticas para o Ensino, a Pesquisa e a Extensão</v>
      </c>
      <c r="E79" t="s">
        <v>74</v>
      </c>
    </row>
    <row r="80" spans="1:5" x14ac:dyDescent="0.25">
      <c r="A80">
        <f t="shared" si="5"/>
        <v>79</v>
      </c>
      <c r="B80" t="s">
        <v>24</v>
      </c>
      <c r="C80">
        <v>2</v>
      </c>
      <c r="D80" t="str">
        <f t="shared" si="4"/>
        <v>Políticas para o Ensino, a Pesquisa e a Extensão</v>
      </c>
      <c r="E80" t="s">
        <v>74</v>
      </c>
    </row>
    <row r="81" spans="1:5" x14ac:dyDescent="0.25">
      <c r="A81">
        <f t="shared" si="5"/>
        <v>80</v>
      </c>
      <c r="B81" t="s">
        <v>25</v>
      </c>
      <c r="C81">
        <v>2</v>
      </c>
      <c r="D81" t="str">
        <f t="shared" si="4"/>
        <v>Políticas para o Ensino, a Pesquisa e a Extensão</v>
      </c>
      <c r="E81" t="s">
        <v>74</v>
      </c>
    </row>
    <row r="82" spans="1:5" x14ac:dyDescent="0.25">
      <c r="A82">
        <f t="shared" si="5"/>
        <v>81</v>
      </c>
      <c r="B82" t="s">
        <v>26</v>
      </c>
      <c r="C82">
        <v>3</v>
      </c>
      <c r="D82" t="str">
        <f t="shared" ref="D82:D87" si="6">CHOOSE(C82,
"Missão e Plano de Desenvolvimento Institucional",
"Políticas para o Ensino, a Pesquisa e a Extensão",
"Responsabilidade Social da Instituição",
"Comunicação com a Sociedade",
"Políticas de Pessoal",
"Organização e Gestão da Instituição",
"Infraestrutura Física",
"Planejamento e Avaliação",
"Política de Atendimento aos Discentes",
"Sustentabilidade Financeira")</f>
        <v>Responsabilidade Social da Instituição</v>
      </c>
      <c r="E82" t="s">
        <v>74</v>
      </c>
    </row>
    <row r="83" spans="1:5" x14ac:dyDescent="0.25">
      <c r="A83">
        <f t="shared" si="5"/>
        <v>82</v>
      </c>
      <c r="B83" t="s">
        <v>27</v>
      </c>
      <c r="C83">
        <v>3</v>
      </c>
      <c r="D83" t="str">
        <f t="shared" si="6"/>
        <v>Responsabilidade Social da Instituição</v>
      </c>
      <c r="E83" t="s">
        <v>74</v>
      </c>
    </row>
    <row r="84" spans="1:5" x14ac:dyDescent="0.25">
      <c r="A84">
        <f t="shared" si="5"/>
        <v>83</v>
      </c>
      <c r="B84" t="s">
        <v>28</v>
      </c>
      <c r="C84">
        <v>3</v>
      </c>
      <c r="D84" t="str">
        <f t="shared" si="6"/>
        <v>Responsabilidade Social da Instituição</v>
      </c>
      <c r="E84" t="s">
        <v>74</v>
      </c>
    </row>
    <row r="85" spans="1:5" x14ac:dyDescent="0.25">
      <c r="A85">
        <f t="shared" si="5"/>
        <v>84</v>
      </c>
      <c r="B85" t="s">
        <v>29</v>
      </c>
      <c r="C85">
        <v>3</v>
      </c>
      <c r="D85" t="str">
        <f t="shared" si="6"/>
        <v>Responsabilidade Social da Instituição</v>
      </c>
      <c r="E85" t="s">
        <v>74</v>
      </c>
    </row>
    <row r="86" spans="1:5" x14ac:dyDescent="0.25">
      <c r="A86">
        <f t="shared" si="5"/>
        <v>85</v>
      </c>
      <c r="B86" t="s">
        <v>30</v>
      </c>
      <c r="C86">
        <v>3</v>
      </c>
      <c r="D86" t="str">
        <f t="shared" si="6"/>
        <v>Responsabilidade Social da Instituição</v>
      </c>
      <c r="E86" t="s">
        <v>74</v>
      </c>
    </row>
    <row r="87" spans="1:5" x14ac:dyDescent="0.25">
      <c r="A87">
        <f t="shared" si="5"/>
        <v>86</v>
      </c>
      <c r="B87" t="s">
        <v>26</v>
      </c>
      <c r="C87">
        <v>3</v>
      </c>
      <c r="D87" t="str">
        <f t="shared" si="6"/>
        <v>Responsabilidade Social da Instituição</v>
      </c>
      <c r="E87" t="s">
        <v>74</v>
      </c>
    </row>
    <row r="88" spans="1:5" x14ac:dyDescent="0.25">
      <c r="A88">
        <f t="shared" si="5"/>
        <v>87</v>
      </c>
      <c r="B88" t="s">
        <v>31</v>
      </c>
      <c r="C88">
        <v>4</v>
      </c>
      <c r="D88" t="str">
        <f t="shared" ref="D88:D90" si="7">CHOOSE(C88,
"Missão e Plano de Desenvolvimento Institucional",
"Políticas para o Ensino, a Pesquisa e a Extensão",
"Responsabilidade Social da Instituição",
"Comunicação com a Sociedade",
"Políticas de Pessoal",
"Organização e Gestão da Instituição",
"Infraestrutura Física",
"Planejamento e Avaliação",
"Política de Atendimento aos Discentes",
"Sustentabilidade Financeira")</f>
        <v>Comunicação com a Sociedade</v>
      </c>
      <c r="E88" t="s">
        <v>74</v>
      </c>
    </row>
    <row r="89" spans="1:5" x14ac:dyDescent="0.25">
      <c r="A89">
        <f t="shared" si="5"/>
        <v>88</v>
      </c>
      <c r="B89" t="s">
        <v>32</v>
      </c>
      <c r="C89">
        <v>4</v>
      </c>
      <c r="D89" t="str">
        <f t="shared" si="7"/>
        <v>Comunicação com a Sociedade</v>
      </c>
      <c r="E89" t="s">
        <v>74</v>
      </c>
    </row>
    <row r="90" spans="1:5" x14ac:dyDescent="0.25">
      <c r="A90">
        <f t="shared" si="5"/>
        <v>89</v>
      </c>
      <c r="B90" t="s">
        <v>33</v>
      </c>
      <c r="C90">
        <v>4</v>
      </c>
      <c r="D90" t="str">
        <f t="shared" si="7"/>
        <v>Comunicação com a Sociedade</v>
      </c>
      <c r="E90" t="s">
        <v>74</v>
      </c>
    </row>
    <row r="91" spans="1:5" x14ac:dyDescent="0.25">
      <c r="A91">
        <f t="shared" si="5"/>
        <v>90</v>
      </c>
      <c r="B91" t="s">
        <v>62</v>
      </c>
      <c r="C91">
        <v>5</v>
      </c>
      <c r="D91" t="str">
        <f t="shared" ref="D91:D97" si="8">CHOOSE(C91,
"Missão e Plano de Desenvolvimento Institucional",
"Políticas para o Ensino, a Pesquisa e a Extensão",
"Responsabilidade Social da Instituição",
"Comunicação com a Sociedade",
"Políticas de Pessoal",
"Organização e Gestão da Instituição",
"Infraestrutura Física",
"Planejamento e Avaliação",
"Política de Atendimento aos Discentes",
"Sustentabilidade Financeira")</f>
        <v>Políticas de Pessoal</v>
      </c>
      <c r="E91" t="s">
        <v>74</v>
      </c>
    </row>
    <row r="92" spans="1:5" x14ac:dyDescent="0.25">
      <c r="A92">
        <f t="shared" si="5"/>
        <v>91</v>
      </c>
      <c r="B92" t="s">
        <v>63</v>
      </c>
      <c r="C92">
        <v>5</v>
      </c>
      <c r="D92" t="str">
        <f t="shared" si="8"/>
        <v>Políticas de Pessoal</v>
      </c>
      <c r="E92" t="s">
        <v>74</v>
      </c>
    </row>
    <row r="93" spans="1:5" x14ac:dyDescent="0.25">
      <c r="A93">
        <f t="shared" si="5"/>
        <v>92</v>
      </c>
      <c r="B93" t="s">
        <v>64</v>
      </c>
      <c r="C93">
        <v>5</v>
      </c>
      <c r="D93" t="str">
        <f t="shared" si="8"/>
        <v>Políticas de Pessoal</v>
      </c>
      <c r="E93" t="s">
        <v>74</v>
      </c>
    </row>
    <row r="94" spans="1:5" x14ac:dyDescent="0.25">
      <c r="A94">
        <f t="shared" si="5"/>
        <v>93</v>
      </c>
      <c r="B94" t="s">
        <v>65</v>
      </c>
      <c r="C94">
        <v>5</v>
      </c>
      <c r="D94" t="str">
        <f t="shared" si="8"/>
        <v>Políticas de Pessoal</v>
      </c>
      <c r="E94" t="s">
        <v>74</v>
      </c>
    </row>
    <row r="95" spans="1:5" x14ac:dyDescent="0.25">
      <c r="A95">
        <f t="shared" si="5"/>
        <v>94</v>
      </c>
      <c r="B95" t="s">
        <v>66</v>
      </c>
      <c r="C95">
        <v>5</v>
      </c>
      <c r="D95" t="str">
        <f t="shared" si="8"/>
        <v>Políticas de Pessoal</v>
      </c>
      <c r="E95" t="s">
        <v>74</v>
      </c>
    </row>
    <row r="96" spans="1:5" x14ac:dyDescent="0.25">
      <c r="A96">
        <f t="shared" si="5"/>
        <v>95</v>
      </c>
      <c r="B96" t="s">
        <v>67</v>
      </c>
      <c r="C96">
        <v>5</v>
      </c>
      <c r="D96" t="str">
        <f t="shared" si="8"/>
        <v>Políticas de Pessoal</v>
      </c>
      <c r="E96" t="s">
        <v>74</v>
      </c>
    </row>
    <row r="97" spans="1:5" x14ac:dyDescent="0.25">
      <c r="A97">
        <f t="shared" si="5"/>
        <v>96</v>
      </c>
      <c r="B97" t="s">
        <v>68</v>
      </c>
      <c r="C97">
        <v>5</v>
      </c>
      <c r="D97" t="str">
        <f t="shared" si="8"/>
        <v>Políticas de Pessoal</v>
      </c>
      <c r="E97" t="s">
        <v>74</v>
      </c>
    </row>
    <row r="98" spans="1:5" x14ac:dyDescent="0.25">
      <c r="A98">
        <f t="shared" si="5"/>
        <v>97</v>
      </c>
      <c r="B98" t="s">
        <v>35</v>
      </c>
      <c r="C98">
        <v>6</v>
      </c>
      <c r="D98" t="str">
        <f t="shared" ref="D98:D102" si="9">CHOOSE(C98,
"Missão e Plano de Desenvolvimento Institucional",
"Políticas para o Ensino, a Pesquisa e a Extensão",
"Responsabilidade Social da Instituição",
"Comunicação com a Sociedade",
"Políticas de Pessoal",
"Organização e Gestão da Instituição",
"Infraestrutura Física",
"Planejamento e Avaliação",
"Política de Atendimento aos Discentes",
"Sustentabilidade Financeira")</f>
        <v>Organização e Gestão da Instituição</v>
      </c>
      <c r="E98" t="s">
        <v>74</v>
      </c>
    </row>
    <row r="99" spans="1:5" x14ac:dyDescent="0.25">
      <c r="A99">
        <f t="shared" si="5"/>
        <v>98</v>
      </c>
      <c r="B99" t="s">
        <v>36</v>
      </c>
      <c r="C99">
        <v>6</v>
      </c>
      <c r="D99" t="str">
        <f t="shared" si="9"/>
        <v>Organização e Gestão da Instituição</v>
      </c>
      <c r="E99" t="s">
        <v>74</v>
      </c>
    </row>
    <row r="100" spans="1:5" x14ac:dyDescent="0.25">
      <c r="A100">
        <f t="shared" si="5"/>
        <v>99</v>
      </c>
      <c r="B100" t="s">
        <v>37</v>
      </c>
      <c r="C100">
        <v>6</v>
      </c>
      <c r="D100" t="str">
        <f t="shared" si="9"/>
        <v>Organização e Gestão da Instituição</v>
      </c>
      <c r="E100" t="s">
        <v>74</v>
      </c>
    </row>
    <row r="101" spans="1:5" x14ac:dyDescent="0.25">
      <c r="A101">
        <f t="shared" si="5"/>
        <v>100</v>
      </c>
      <c r="B101" t="s">
        <v>38</v>
      </c>
      <c r="C101">
        <v>6</v>
      </c>
      <c r="D101" t="str">
        <f t="shared" si="9"/>
        <v>Organização e Gestão da Instituição</v>
      </c>
      <c r="E101" t="s">
        <v>74</v>
      </c>
    </row>
    <row r="102" spans="1:5" x14ac:dyDescent="0.25">
      <c r="A102">
        <f t="shared" si="5"/>
        <v>101</v>
      </c>
      <c r="B102" t="s">
        <v>39</v>
      </c>
      <c r="C102">
        <v>6</v>
      </c>
      <c r="D102" t="str">
        <f t="shared" si="9"/>
        <v>Organização e Gestão da Instituição</v>
      </c>
      <c r="E102" t="s">
        <v>74</v>
      </c>
    </row>
    <row r="103" spans="1:5" x14ac:dyDescent="0.25">
      <c r="A103">
        <f t="shared" si="5"/>
        <v>102</v>
      </c>
      <c r="B103" t="s">
        <v>40</v>
      </c>
      <c r="C103">
        <v>7</v>
      </c>
      <c r="D103" t="str">
        <f t="shared" ref="D103:D113" si="10">CHOOSE(C103,
"Missão e Plano de Desenvolvimento Institucional",
"Políticas para o Ensino, a Pesquisa e a Extensão",
"Responsabilidade Social da Instituição",
"Comunicação com a Sociedade",
"Políticas de Pessoal",
"Organização e Gestão da Instituição",
"Infraestrutura Física",
"Planejamento e Avaliação",
"Política de Atendimento aos Discentes",
"Sustentabilidade Financeira")</f>
        <v>Infraestrutura Física</v>
      </c>
      <c r="E103" t="s">
        <v>74</v>
      </c>
    </row>
    <row r="104" spans="1:5" x14ac:dyDescent="0.25">
      <c r="A104">
        <f t="shared" si="5"/>
        <v>103</v>
      </c>
      <c r="B104" t="s">
        <v>41</v>
      </c>
      <c r="C104">
        <v>7</v>
      </c>
      <c r="D104" t="str">
        <f t="shared" si="10"/>
        <v>Infraestrutura Física</v>
      </c>
      <c r="E104" t="s">
        <v>74</v>
      </c>
    </row>
    <row r="105" spans="1:5" x14ac:dyDescent="0.25">
      <c r="A105">
        <f t="shared" si="5"/>
        <v>104</v>
      </c>
      <c r="B105" t="s">
        <v>42</v>
      </c>
      <c r="C105">
        <v>7</v>
      </c>
      <c r="D105" t="str">
        <f t="shared" si="10"/>
        <v>Infraestrutura Física</v>
      </c>
      <c r="E105" t="s">
        <v>74</v>
      </c>
    </row>
    <row r="106" spans="1:5" x14ac:dyDescent="0.25">
      <c r="A106">
        <f t="shared" si="5"/>
        <v>105</v>
      </c>
      <c r="B106" t="s">
        <v>43</v>
      </c>
      <c r="C106">
        <v>7</v>
      </c>
      <c r="D106" t="str">
        <f t="shared" si="10"/>
        <v>Infraestrutura Física</v>
      </c>
      <c r="E106" t="s">
        <v>74</v>
      </c>
    </row>
    <row r="107" spans="1:5" x14ac:dyDescent="0.25">
      <c r="A107">
        <f t="shared" si="5"/>
        <v>106</v>
      </c>
      <c r="B107" t="s">
        <v>44</v>
      </c>
      <c r="C107">
        <v>7</v>
      </c>
      <c r="D107" t="str">
        <f t="shared" si="10"/>
        <v>Infraestrutura Física</v>
      </c>
      <c r="E107" t="s">
        <v>74</v>
      </c>
    </row>
    <row r="108" spans="1:5" x14ac:dyDescent="0.25">
      <c r="A108">
        <f t="shared" si="5"/>
        <v>107</v>
      </c>
      <c r="B108" t="s">
        <v>45</v>
      </c>
      <c r="C108">
        <v>7</v>
      </c>
      <c r="D108" t="str">
        <f t="shared" si="10"/>
        <v>Infraestrutura Física</v>
      </c>
      <c r="E108" t="s">
        <v>74</v>
      </c>
    </row>
    <row r="109" spans="1:5" x14ac:dyDescent="0.25">
      <c r="A109">
        <f t="shared" si="5"/>
        <v>108</v>
      </c>
      <c r="B109" t="s">
        <v>46</v>
      </c>
      <c r="C109">
        <v>7</v>
      </c>
      <c r="D109" t="str">
        <f t="shared" si="10"/>
        <v>Infraestrutura Física</v>
      </c>
      <c r="E109" t="s">
        <v>74</v>
      </c>
    </row>
    <row r="110" spans="1:5" x14ac:dyDescent="0.25">
      <c r="A110">
        <f t="shared" si="5"/>
        <v>109</v>
      </c>
      <c r="B110" t="s">
        <v>47</v>
      </c>
      <c r="C110">
        <v>7</v>
      </c>
      <c r="D110" t="str">
        <f t="shared" si="10"/>
        <v>Infraestrutura Física</v>
      </c>
      <c r="E110" t="s">
        <v>74</v>
      </c>
    </row>
    <row r="111" spans="1:5" x14ac:dyDescent="0.25">
      <c r="A111">
        <f t="shared" si="5"/>
        <v>110</v>
      </c>
      <c r="B111" t="s">
        <v>48</v>
      </c>
      <c r="C111">
        <v>7</v>
      </c>
      <c r="D111" t="str">
        <f t="shared" si="10"/>
        <v>Infraestrutura Física</v>
      </c>
      <c r="E111" t="s">
        <v>74</v>
      </c>
    </row>
    <row r="112" spans="1:5" x14ac:dyDescent="0.25">
      <c r="A112">
        <f t="shared" si="5"/>
        <v>111</v>
      </c>
      <c r="B112" t="s">
        <v>49</v>
      </c>
      <c r="C112">
        <v>7</v>
      </c>
      <c r="D112" t="str">
        <f t="shared" si="10"/>
        <v>Infraestrutura Física</v>
      </c>
      <c r="E112" t="s">
        <v>74</v>
      </c>
    </row>
    <row r="113" spans="1:5" x14ac:dyDescent="0.25">
      <c r="A113">
        <f t="shared" si="5"/>
        <v>112</v>
      </c>
      <c r="B113" t="s">
        <v>50</v>
      </c>
      <c r="C113">
        <v>7</v>
      </c>
      <c r="D113" t="str">
        <f t="shared" si="10"/>
        <v>Infraestrutura Física</v>
      </c>
      <c r="E113" t="s">
        <v>74</v>
      </c>
    </row>
    <row r="114" spans="1:5" x14ac:dyDescent="0.25">
      <c r="A114">
        <f t="shared" si="5"/>
        <v>113</v>
      </c>
      <c r="B114" t="s">
        <v>51</v>
      </c>
      <c r="C114">
        <v>8</v>
      </c>
      <c r="D114" t="str">
        <f t="shared" ref="D114:D117" si="11">CHOOSE(C114,
"Missão e Plano de Desenvolvimento Institucional",
"Políticas para o Ensino, a Pesquisa e a Extensão",
"Responsabilidade Social da Instituição",
"Comunicação com a Sociedade",
"Políticas de Pessoal",
"Organização e Gestão da Instituição",
"Infraestrutura Física",
"Planejamento e Avaliação",
"Política de Atendimento aos Discentes",
"Sustentabilidade Financeira")</f>
        <v>Planejamento e Avaliação</v>
      </c>
      <c r="E114" t="s">
        <v>74</v>
      </c>
    </row>
    <row r="115" spans="1:5" x14ac:dyDescent="0.25">
      <c r="A115">
        <f t="shared" si="5"/>
        <v>114</v>
      </c>
      <c r="B115" t="s">
        <v>52</v>
      </c>
      <c r="C115">
        <v>8</v>
      </c>
      <c r="D115" t="str">
        <f t="shared" si="11"/>
        <v>Planejamento e Avaliação</v>
      </c>
      <c r="E115" t="s">
        <v>74</v>
      </c>
    </row>
    <row r="116" spans="1:5" x14ac:dyDescent="0.25">
      <c r="A116">
        <f t="shared" si="5"/>
        <v>115</v>
      </c>
      <c r="B116" t="s">
        <v>53</v>
      </c>
      <c r="C116">
        <v>8</v>
      </c>
      <c r="D116" t="str">
        <f t="shared" si="11"/>
        <v>Planejamento e Avaliação</v>
      </c>
      <c r="E116" t="s">
        <v>74</v>
      </c>
    </row>
    <row r="117" spans="1:5" x14ac:dyDescent="0.25">
      <c r="A117">
        <f t="shared" si="5"/>
        <v>116</v>
      </c>
      <c r="B117" t="s">
        <v>54</v>
      </c>
      <c r="C117">
        <v>8</v>
      </c>
      <c r="D117" t="str">
        <f t="shared" si="11"/>
        <v>Planejamento e Avaliação</v>
      </c>
      <c r="E117" t="s">
        <v>74</v>
      </c>
    </row>
    <row r="118" spans="1:5" x14ac:dyDescent="0.25">
      <c r="A118">
        <f t="shared" si="5"/>
        <v>117</v>
      </c>
      <c r="B118" t="s">
        <v>69</v>
      </c>
      <c r="C118">
        <v>10</v>
      </c>
      <c r="D118" t="str">
        <f t="shared" ref="D118:D119" si="12">CHOOSE(C118,
"Missão e Plano de Desenvolvimento Institucional",
"Políticas para o Ensino, a Pesquisa e a Extensão",
"Responsabilidade Social da Instituição",
"Comunicação com a Sociedade",
"Políticas de Pessoal",
"Organização e Gestão da Instituição",
"Infraestrutura Física",
"Planejamento e Avaliação",
"Política de Atendimento aos Discentes",
"Sustentabilidade Financeira")</f>
        <v>Sustentabilidade Financeira</v>
      </c>
      <c r="E118" t="s">
        <v>74</v>
      </c>
    </row>
    <row r="119" spans="1:5" x14ac:dyDescent="0.25">
      <c r="A119">
        <f t="shared" si="5"/>
        <v>118</v>
      </c>
      <c r="B119" t="s">
        <v>70</v>
      </c>
      <c r="C119">
        <v>10</v>
      </c>
      <c r="D119" t="str">
        <f t="shared" si="12"/>
        <v>Sustentabilidade Financeira</v>
      </c>
      <c r="E119" t="s">
        <v>74</v>
      </c>
    </row>
    <row r="120" spans="1:5" x14ac:dyDescent="0.25">
      <c r="A120">
        <f t="shared" si="5"/>
        <v>119</v>
      </c>
      <c r="B120" t="s">
        <v>3</v>
      </c>
      <c r="C120">
        <v>1</v>
      </c>
      <c r="D120" t="str">
        <f t="shared" ref="D120:D123" si="13">CHOOSE(C120,
"Missão e Plano de Desenvolvimento Institucional",
"Políticas para o Ensino, a Pesquisa e a Extensão",
"Responsabilidade Social da Instituição",
"Comunicação com a Sociedade",
"Políticas de Pessoal",
"Organização e Gestão da Instituição",
"Infraestrutura Física",
"Planejamento e Avaliação",
"Política de Atendimento aos Discentes",
"Sustentabilidade Financeira")</f>
        <v>Missão e Plano de Desenvolvimento Institucional</v>
      </c>
      <c r="E120" t="s">
        <v>76</v>
      </c>
    </row>
    <row r="121" spans="1:5" x14ac:dyDescent="0.25">
      <c r="A121">
        <f t="shared" si="5"/>
        <v>120</v>
      </c>
      <c r="B121" t="s">
        <v>4</v>
      </c>
      <c r="C121">
        <v>1</v>
      </c>
      <c r="D121" t="str">
        <f t="shared" si="13"/>
        <v>Missão e Plano de Desenvolvimento Institucional</v>
      </c>
      <c r="E121" t="s">
        <v>76</v>
      </c>
    </row>
    <row r="122" spans="1:5" x14ac:dyDescent="0.25">
      <c r="A122">
        <f t="shared" si="5"/>
        <v>121</v>
      </c>
      <c r="B122" t="s">
        <v>5</v>
      </c>
      <c r="C122">
        <v>1</v>
      </c>
      <c r="D122" t="str">
        <f t="shared" si="13"/>
        <v>Missão e Plano de Desenvolvimento Institucional</v>
      </c>
      <c r="E122" t="s">
        <v>76</v>
      </c>
    </row>
    <row r="123" spans="1:5" x14ac:dyDescent="0.25">
      <c r="A123">
        <f t="shared" si="5"/>
        <v>122</v>
      </c>
      <c r="B123" t="s">
        <v>6</v>
      </c>
      <c r="C123">
        <v>1</v>
      </c>
      <c r="D123" t="str">
        <f t="shared" si="13"/>
        <v>Missão e Plano de Desenvolvimento Institucional</v>
      </c>
      <c r="E123" t="s">
        <v>76</v>
      </c>
    </row>
    <row r="124" spans="1:5" x14ac:dyDescent="0.25">
      <c r="A124">
        <f t="shared" si="5"/>
        <v>123</v>
      </c>
      <c r="B124" t="s">
        <v>26</v>
      </c>
      <c r="C124">
        <v>3</v>
      </c>
      <c r="D124" t="str">
        <f t="shared" ref="D124:D129" si="14">CHOOSE(C124,
"Missão e Plano de Desenvolvimento Institucional",
"Políticas para o Ensino, a Pesquisa e a Extensão",
"Responsabilidade Social da Instituição",
"Comunicação com a Sociedade",
"Políticas de Pessoal",
"Organização e Gestão da Instituição",
"Infraestrutura Física",
"Planejamento e Avaliação",
"Política de Atendimento aos Discentes",
"Sustentabilidade Financeira")</f>
        <v>Responsabilidade Social da Instituição</v>
      </c>
      <c r="E124" t="s">
        <v>76</v>
      </c>
    </row>
    <row r="125" spans="1:5" x14ac:dyDescent="0.25">
      <c r="A125">
        <f t="shared" si="5"/>
        <v>124</v>
      </c>
      <c r="B125" t="s">
        <v>27</v>
      </c>
      <c r="C125">
        <v>3</v>
      </c>
      <c r="D125" t="str">
        <f t="shared" si="14"/>
        <v>Responsabilidade Social da Instituição</v>
      </c>
      <c r="E125" t="s">
        <v>76</v>
      </c>
    </row>
    <row r="126" spans="1:5" x14ac:dyDescent="0.25">
      <c r="A126">
        <f t="shared" si="5"/>
        <v>125</v>
      </c>
      <c r="B126" t="s">
        <v>28</v>
      </c>
      <c r="C126">
        <v>3</v>
      </c>
      <c r="D126" t="str">
        <f t="shared" si="14"/>
        <v>Responsabilidade Social da Instituição</v>
      </c>
      <c r="E126" t="s">
        <v>76</v>
      </c>
    </row>
    <row r="127" spans="1:5" x14ac:dyDescent="0.25">
      <c r="A127">
        <f t="shared" si="5"/>
        <v>126</v>
      </c>
      <c r="B127" t="s">
        <v>29</v>
      </c>
      <c r="C127">
        <v>3</v>
      </c>
      <c r="D127" t="str">
        <f t="shared" si="14"/>
        <v>Responsabilidade Social da Instituição</v>
      </c>
      <c r="E127" t="s">
        <v>76</v>
      </c>
    </row>
    <row r="128" spans="1:5" x14ac:dyDescent="0.25">
      <c r="A128">
        <f t="shared" si="5"/>
        <v>127</v>
      </c>
      <c r="B128" t="s">
        <v>30</v>
      </c>
      <c r="C128">
        <v>3</v>
      </c>
      <c r="D128" t="str">
        <f t="shared" si="14"/>
        <v>Responsabilidade Social da Instituição</v>
      </c>
      <c r="E128" t="s">
        <v>76</v>
      </c>
    </row>
    <row r="129" spans="1:5" x14ac:dyDescent="0.25">
      <c r="A129">
        <f t="shared" si="5"/>
        <v>128</v>
      </c>
      <c r="B129" t="s">
        <v>31</v>
      </c>
      <c r="C129">
        <v>4</v>
      </c>
      <c r="D129" t="str">
        <f t="shared" si="14"/>
        <v>Comunicação com a Sociedade</v>
      </c>
      <c r="E129" t="s">
        <v>76</v>
      </c>
    </row>
    <row r="130" spans="1:5" x14ac:dyDescent="0.25">
      <c r="A130">
        <f t="shared" si="5"/>
        <v>129</v>
      </c>
      <c r="B130" t="s">
        <v>71</v>
      </c>
      <c r="C130">
        <v>4</v>
      </c>
      <c r="D130" t="str">
        <f t="shared" ref="D130:D132" si="15">CHOOSE(C130,
"Missão e Plano de Desenvolvimento Institucional",
"Políticas para o Ensino, a Pesquisa e a Extensão",
"Responsabilidade Social da Instituição",
"Comunicação com a Sociedade",
"Políticas de Pessoal",
"Organização e Gestão da Instituição",
"Infraestrutura Física",
"Planejamento e Avaliação",
"Política de Atendimento aos Discentes",
"Sustentabilidade Financeira")</f>
        <v>Comunicação com a Sociedade</v>
      </c>
      <c r="E130" t="s">
        <v>76</v>
      </c>
    </row>
    <row r="131" spans="1:5" x14ac:dyDescent="0.25">
      <c r="A131">
        <f t="shared" ref="A131:A164" si="16">ROW()-1</f>
        <v>130</v>
      </c>
      <c r="B131" t="s">
        <v>32</v>
      </c>
      <c r="C131">
        <v>4</v>
      </c>
      <c r="D131" t="str">
        <f t="shared" si="15"/>
        <v>Comunicação com a Sociedade</v>
      </c>
      <c r="E131" t="s">
        <v>76</v>
      </c>
    </row>
    <row r="132" spans="1:5" x14ac:dyDescent="0.25">
      <c r="A132">
        <f t="shared" si="16"/>
        <v>131</v>
      </c>
      <c r="B132" t="s">
        <v>33</v>
      </c>
      <c r="C132">
        <v>4</v>
      </c>
      <c r="D132" t="str">
        <f t="shared" si="15"/>
        <v>Comunicação com a Sociedade</v>
      </c>
      <c r="E132" t="s">
        <v>76</v>
      </c>
    </row>
    <row r="133" spans="1:5" x14ac:dyDescent="0.25">
      <c r="A133">
        <f t="shared" si="16"/>
        <v>132</v>
      </c>
      <c r="B133" t="s">
        <v>62</v>
      </c>
      <c r="C133">
        <v>5</v>
      </c>
      <c r="D133" t="str">
        <f t="shared" ref="D133:D139" si="17">CHOOSE(C133,
"Missão e Plano de Desenvolvimento Institucional",
"Políticas para o Ensino, a Pesquisa e a Extensão",
"Responsabilidade Social da Instituição",
"Comunicação com a Sociedade",
"Políticas de Pessoal",
"Organização e Gestão da Instituição",
"Infraestrutura Física",
"Planejamento e Avaliação",
"Política de Atendimento aos Discentes",
"Sustentabilidade Financeira")</f>
        <v>Políticas de Pessoal</v>
      </c>
      <c r="E133" t="s">
        <v>76</v>
      </c>
    </row>
    <row r="134" spans="1:5" x14ac:dyDescent="0.25">
      <c r="A134">
        <f t="shared" si="16"/>
        <v>133</v>
      </c>
      <c r="B134" t="s">
        <v>63</v>
      </c>
      <c r="C134">
        <v>5</v>
      </c>
      <c r="D134" t="str">
        <f t="shared" si="17"/>
        <v>Políticas de Pessoal</v>
      </c>
      <c r="E134" t="s">
        <v>76</v>
      </c>
    </row>
    <row r="135" spans="1:5" x14ac:dyDescent="0.25">
      <c r="A135">
        <f t="shared" si="16"/>
        <v>134</v>
      </c>
      <c r="B135" t="s">
        <v>64</v>
      </c>
      <c r="C135">
        <v>5</v>
      </c>
      <c r="D135" t="str">
        <f t="shared" si="17"/>
        <v>Políticas de Pessoal</v>
      </c>
      <c r="E135" t="s">
        <v>76</v>
      </c>
    </row>
    <row r="136" spans="1:5" x14ac:dyDescent="0.25">
      <c r="A136">
        <f t="shared" si="16"/>
        <v>135</v>
      </c>
      <c r="B136" t="s">
        <v>65</v>
      </c>
      <c r="C136">
        <v>5</v>
      </c>
      <c r="D136" t="str">
        <f t="shared" si="17"/>
        <v>Políticas de Pessoal</v>
      </c>
      <c r="E136" t="s">
        <v>76</v>
      </c>
    </row>
    <row r="137" spans="1:5" x14ac:dyDescent="0.25">
      <c r="A137">
        <f t="shared" si="16"/>
        <v>136</v>
      </c>
      <c r="B137" t="s">
        <v>66</v>
      </c>
      <c r="C137">
        <v>5</v>
      </c>
      <c r="D137" t="str">
        <f t="shared" si="17"/>
        <v>Políticas de Pessoal</v>
      </c>
      <c r="E137" t="s">
        <v>76</v>
      </c>
    </row>
    <row r="138" spans="1:5" x14ac:dyDescent="0.25">
      <c r="A138">
        <f t="shared" si="16"/>
        <v>137</v>
      </c>
      <c r="B138" t="s">
        <v>67</v>
      </c>
      <c r="C138">
        <v>5</v>
      </c>
      <c r="D138" t="str">
        <f t="shared" si="17"/>
        <v>Políticas de Pessoal</v>
      </c>
      <c r="E138" t="s">
        <v>76</v>
      </c>
    </row>
    <row r="139" spans="1:5" x14ac:dyDescent="0.25">
      <c r="A139">
        <f t="shared" si="16"/>
        <v>138</v>
      </c>
      <c r="B139" t="s">
        <v>68</v>
      </c>
      <c r="C139">
        <v>5</v>
      </c>
      <c r="D139" t="str">
        <f t="shared" si="17"/>
        <v>Políticas de Pessoal</v>
      </c>
      <c r="E139" t="s">
        <v>76</v>
      </c>
    </row>
    <row r="140" spans="1:5" x14ac:dyDescent="0.25">
      <c r="A140">
        <f t="shared" si="16"/>
        <v>139</v>
      </c>
      <c r="B140" t="s">
        <v>35</v>
      </c>
      <c r="C140">
        <v>6</v>
      </c>
      <c r="D140" t="str">
        <f t="shared" ref="D140:D144" si="18">CHOOSE(C140,
"Missão e Plano de Desenvolvimento Institucional",
"Políticas para o Ensino, a Pesquisa e a Extensão",
"Responsabilidade Social da Instituição",
"Comunicação com a Sociedade",
"Políticas de Pessoal",
"Organização e Gestão da Instituição",
"Infraestrutura Física",
"Planejamento e Avaliação",
"Política de Atendimento aos Discentes",
"Sustentabilidade Financeira")</f>
        <v>Organização e Gestão da Instituição</v>
      </c>
      <c r="E140" t="s">
        <v>76</v>
      </c>
    </row>
    <row r="141" spans="1:5" x14ac:dyDescent="0.25">
      <c r="A141">
        <f t="shared" si="16"/>
        <v>140</v>
      </c>
      <c r="B141" t="s">
        <v>36</v>
      </c>
      <c r="C141">
        <v>6</v>
      </c>
      <c r="D141" t="str">
        <f t="shared" si="18"/>
        <v>Organização e Gestão da Instituição</v>
      </c>
      <c r="E141" t="s">
        <v>76</v>
      </c>
    </row>
    <row r="142" spans="1:5" x14ac:dyDescent="0.25">
      <c r="A142">
        <f t="shared" si="16"/>
        <v>141</v>
      </c>
      <c r="B142" t="s">
        <v>37</v>
      </c>
      <c r="C142">
        <v>6</v>
      </c>
      <c r="D142" t="str">
        <f t="shared" si="18"/>
        <v>Organização e Gestão da Instituição</v>
      </c>
      <c r="E142" t="s">
        <v>76</v>
      </c>
    </row>
    <row r="143" spans="1:5" x14ac:dyDescent="0.25">
      <c r="A143">
        <f t="shared" si="16"/>
        <v>142</v>
      </c>
      <c r="B143" t="s">
        <v>38</v>
      </c>
      <c r="C143">
        <v>6</v>
      </c>
      <c r="D143" t="str">
        <f t="shared" si="18"/>
        <v>Organização e Gestão da Instituição</v>
      </c>
      <c r="E143" t="s">
        <v>76</v>
      </c>
    </row>
    <row r="144" spans="1:5" x14ac:dyDescent="0.25">
      <c r="A144">
        <f t="shared" si="16"/>
        <v>143</v>
      </c>
      <c r="B144" t="s">
        <v>39</v>
      </c>
      <c r="C144">
        <v>6</v>
      </c>
      <c r="D144" t="str">
        <f t="shared" si="18"/>
        <v>Organização e Gestão da Instituição</v>
      </c>
      <c r="E144" t="s">
        <v>76</v>
      </c>
    </row>
    <row r="145" spans="1:5" x14ac:dyDescent="0.25">
      <c r="A145">
        <f t="shared" si="16"/>
        <v>144</v>
      </c>
      <c r="B145" t="s">
        <v>40</v>
      </c>
      <c r="C145">
        <v>7</v>
      </c>
      <c r="D145" t="str">
        <f t="shared" ref="D145:D155" si="19">CHOOSE(C145,
"Missão e Plano de Desenvolvimento Institucional",
"Políticas para o Ensino, a Pesquisa e a Extensão",
"Responsabilidade Social da Instituição",
"Comunicação com a Sociedade",
"Políticas de Pessoal",
"Organização e Gestão da Instituição",
"Infraestrutura Física",
"Planejamento e Avaliação",
"Política de Atendimento aos Discentes",
"Sustentabilidade Financeira")</f>
        <v>Infraestrutura Física</v>
      </c>
      <c r="E145" t="s">
        <v>76</v>
      </c>
    </row>
    <row r="146" spans="1:5" x14ac:dyDescent="0.25">
      <c r="A146">
        <f t="shared" si="16"/>
        <v>145</v>
      </c>
      <c r="B146" t="s">
        <v>41</v>
      </c>
      <c r="C146">
        <v>7</v>
      </c>
      <c r="D146" t="str">
        <f t="shared" si="19"/>
        <v>Infraestrutura Física</v>
      </c>
      <c r="E146" t="s">
        <v>76</v>
      </c>
    </row>
    <row r="147" spans="1:5" x14ac:dyDescent="0.25">
      <c r="A147">
        <f t="shared" si="16"/>
        <v>146</v>
      </c>
      <c r="B147" t="s">
        <v>42</v>
      </c>
      <c r="C147">
        <v>7</v>
      </c>
      <c r="D147" t="str">
        <f t="shared" si="19"/>
        <v>Infraestrutura Física</v>
      </c>
      <c r="E147" t="s">
        <v>76</v>
      </c>
    </row>
    <row r="148" spans="1:5" x14ac:dyDescent="0.25">
      <c r="A148">
        <f t="shared" si="16"/>
        <v>147</v>
      </c>
      <c r="B148" t="s">
        <v>43</v>
      </c>
      <c r="C148">
        <v>7</v>
      </c>
      <c r="D148" t="str">
        <f t="shared" si="19"/>
        <v>Infraestrutura Física</v>
      </c>
      <c r="E148" t="s">
        <v>76</v>
      </c>
    </row>
    <row r="149" spans="1:5" x14ac:dyDescent="0.25">
      <c r="A149">
        <f t="shared" si="16"/>
        <v>148</v>
      </c>
      <c r="B149" t="s">
        <v>44</v>
      </c>
      <c r="C149">
        <v>7</v>
      </c>
      <c r="D149" t="str">
        <f t="shared" si="19"/>
        <v>Infraestrutura Física</v>
      </c>
      <c r="E149" t="s">
        <v>76</v>
      </c>
    </row>
    <row r="150" spans="1:5" x14ac:dyDescent="0.25">
      <c r="A150">
        <f t="shared" si="16"/>
        <v>149</v>
      </c>
      <c r="B150" t="s">
        <v>45</v>
      </c>
      <c r="C150">
        <v>7</v>
      </c>
      <c r="D150" t="str">
        <f t="shared" si="19"/>
        <v>Infraestrutura Física</v>
      </c>
      <c r="E150" t="s">
        <v>76</v>
      </c>
    </row>
    <row r="151" spans="1:5" x14ac:dyDescent="0.25">
      <c r="A151">
        <f t="shared" si="16"/>
        <v>150</v>
      </c>
      <c r="B151" t="s">
        <v>46</v>
      </c>
      <c r="C151">
        <v>7</v>
      </c>
      <c r="D151" t="str">
        <f t="shared" si="19"/>
        <v>Infraestrutura Física</v>
      </c>
      <c r="E151" t="s">
        <v>76</v>
      </c>
    </row>
    <row r="152" spans="1:5" x14ac:dyDescent="0.25">
      <c r="A152">
        <f t="shared" si="16"/>
        <v>151</v>
      </c>
      <c r="B152" t="s">
        <v>47</v>
      </c>
      <c r="C152">
        <v>7</v>
      </c>
      <c r="D152" t="str">
        <f t="shared" si="19"/>
        <v>Infraestrutura Física</v>
      </c>
      <c r="E152" t="s">
        <v>76</v>
      </c>
    </row>
    <row r="153" spans="1:5" x14ac:dyDescent="0.25">
      <c r="A153">
        <f t="shared" si="16"/>
        <v>152</v>
      </c>
      <c r="B153" t="s">
        <v>48</v>
      </c>
      <c r="C153">
        <v>7</v>
      </c>
      <c r="D153" t="str">
        <f t="shared" si="19"/>
        <v>Infraestrutura Física</v>
      </c>
      <c r="E153" t="s">
        <v>76</v>
      </c>
    </row>
    <row r="154" spans="1:5" x14ac:dyDescent="0.25">
      <c r="A154">
        <f t="shared" si="16"/>
        <v>153</v>
      </c>
      <c r="B154" t="s">
        <v>49</v>
      </c>
      <c r="C154">
        <v>7</v>
      </c>
      <c r="D154" t="str">
        <f t="shared" si="19"/>
        <v>Infraestrutura Física</v>
      </c>
      <c r="E154" t="s">
        <v>76</v>
      </c>
    </row>
    <row r="155" spans="1:5" x14ac:dyDescent="0.25">
      <c r="A155">
        <f t="shared" si="16"/>
        <v>154</v>
      </c>
      <c r="B155" t="s">
        <v>50</v>
      </c>
      <c r="C155">
        <v>7</v>
      </c>
      <c r="D155" t="str">
        <f t="shared" si="19"/>
        <v>Infraestrutura Física</v>
      </c>
      <c r="E155" t="s">
        <v>76</v>
      </c>
    </row>
    <row r="156" spans="1:5" x14ac:dyDescent="0.25">
      <c r="A156">
        <f t="shared" si="16"/>
        <v>155</v>
      </c>
      <c r="B156" t="s">
        <v>51</v>
      </c>
      <c r="C156">
        <v>8</v>
      </c>
      <c r="D156" t="str">
        <f t="shared" ref="D156:D159" si="20">CHOOSE(C156,
"Missão e Plano de Desenvolvimento Institucional",
"Políticas para o Ensino, a Pesquisa e a Extensão",
"Responsabilidade Social da Instituição",
"Comunicação com a Sociedade",
"Políticas de Pessoal",
"Organização e Gestão da Instituição",
"Infraestrutura Física",
"Planejamento e Avaliação",
"Política de Atendimento aos Discentes",
"Sustentabilidade Financeira")</f>
        <v>Planejamento e Avaliação</v>
      </c>
      <c r="E156" t="s">
        <v>76</v>
      </c>
    </row>
    <row r="157" spans="1:5" x14ac:dyDescent="0.25">
      <c r="A157">
        <f t="shared" si="16"/>
        <v>156</v>
      </c>
      <c r="B157" t="s">
        <v>52</v>
      </c>
      <c r="C157">
        <v>8</v>
      </c>
      <c r="D157" t="str">
        <f t="shared" si="20"/>
        <v>Planejamento e Avaliação</v>
      </c>
      <c r="E157" t="s">
        <v>76</v>
      </c>
    </row>
    <row r="158" spans="1:5" x14ac:dyDescent="0.25">
      <c r="A158">
        <f t="shared" si="16"/>
        <v>157</v>
      </c>
      <c r="B158" t="s">
        <v>53</v>
      </c>
      <c r="C158">
        <v>8</v>
      </c>
      <c r="D158" t="str">
        <f t="shared" si="20"/>
        <v>Planejamento e Avaliação</v>
      </c>
      <c r="E158" t="s">
        <v>76</v>
      </c>
    </row>
    <row r="159" spans="1:5" x14ac:dyDescent="0.25">
      <c r="A159">
        <f t="shared" si="16"/>
        <v>158</v>
      </c>
      <c r="B159" t="s">
        <v>54</v>
      </c>
      <c r="C159">
        <v>8</v>
      </c>
      <c r="D159" t="str">
        <f t="shared" si="20"/>
        <v>Planejamento e Avaliação</v>
      </c>
      <c r="E159" t="s">
        <v>76</v>
      </c>
    </row>
    <row r="160" spans="1:5" x14ac:dyDescent="0.25">
      <c r="A160">
        <f t="shared" si="16"/>
        <v>159</v>
      </c>
      <c r="B160" t="s">
        <v>69</v>
      </c>
      <c r="C160">
        <v>10</v>
      </c>
      <c r="D160" t="str">
        <f t="shared" ref="D160:D161" si="21">CHOOSE(C160,
"Missão e Plano de Desenvolvimento Institucional",
"Políticas para o Ensino, a Pesquisa e a Extensão",
"Responsabilidade Social da Instituição",
"Comunicação com a Sociedade",
"Políticas de Pessoal",
"Organização e Gestão da Instituição",
"Infraestrutura Física",
"Planejamento e Avaliação",
"Política de Atendimento aos Discentes",
"Sustentabilidade Financeira")</f>
        <v>Sustentabilidade Financeira</v>
      </c>
      <c r="E160" t="s">
        <v>76</v>
      </c>
    </row>
    <row r="161" spans="1:5" x14ac:dyDescent="0.25">
      <c r="A161">
        <f t="shared" si="16"/>
        <v>160</v>
      </c>
      <c r="B161" t="s">
        <v>70</v>
      </c>
      <c r="C161">
        <v>10</v>
      </c>
      <c r="D161" t="str">
        <f t="shared" si="21"/>
        <v>Sustentabilidade Financeira</v>
      </c>
      <c r="E161" t="s">
        <v>76</v>
      </c>
    </row>
    <row r="162" spans="1:5" x14ac:dyDescent="0.25">
      <c r="A162">
        <f t="shared" si="16"/>
        <v>161</v>
      </c>
      <c r="B162" t="s">
        <v>31</v>
      </c>
      <c r="C162">
        <v>4</v>
      </c>
      <c r="D162" t="str">
        <f t="shared" ref="D162:D164" si="22">CHOOSE(C162,
"Missão e Plano de Desenvolvimento Institucional",
"Políticas para o Ensino, a Pesquisa e a Extensão",
"Responsabilidade Social da Instituição",
"Comunicação com a Sociedade",
"Políticas de Pessoal",
"Organização e Gestão da Instituição",
"Infraestrutura Física",
"Planejamento e Avaliação",
"Política de Atendimento aos Discentes",
"Sustentabilidade Financeira")</f>
        <v>Comunicação com a Sociedade</v>
      </c>
      <c r="E162" t="s">
        <v>72</v>
      </c>
    </row>
    <row r="163" spans="1:5" x14ac:dyDescent="0.25">
      <c r="A163">
        <f t="shared" si="16"/>
        <v>162</v>
      </c>
      <c r="B163" t="s">
        <v>32</v>
      </c>
      <c r="C163">
        <v>4</v>
      </c>
      <c r="D163" t="str">
        <f t="shared" si="22"/>
        <v>Comunicação com a Sociedade</v>
      </c>
      <c r="E163" t="s">
        <v>72</v>
      </c>
    </row>
    <row r="164" spans="1:5" x14ac:dyDescent="0.25">
      <c r="A164">
        <f t="shared" si="16"/>
        <v>163</v>
      </c>
      <c r="B164" t="s">
        <v>33</v>
      </c>
      <c r="C164">
        <v>4</v>
      </c>
      <c r="D164" t="str">
        <f t="shared" si="22"/>
        <v>Comunicação com a Sociedade</v>
      </c>
      <c r="E164" t="s">
        <v>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</dc:creator>
  <cp:lastModifiedBy>Kevin Maykel Agostinho Gomes</cp:lastModifiedBy>
  <dcterms:created xsi:type="dcterms:W3CDTF">2015-06-05T18:19:34Z</dcterms:created>
  <dcterms:modified xsi:type="dcterms:W3CDTF">2026-03-31T16:39:26Z</dcterms:modified>
</cp:coreProperties>
</file>